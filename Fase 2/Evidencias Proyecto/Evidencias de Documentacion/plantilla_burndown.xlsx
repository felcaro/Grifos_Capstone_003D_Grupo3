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jemplo1" sheetId="1" r:id="rId4"/>
    <sheet state="visible" name="Sprint 1" sheetId="2" r:id="rId5"/>
  </sheets>
  <definedNames/>
  <calcPr/>
  <extLst>
    <ext uri="GoogleSheetsCustomDataVersion2">
      <go:sheetsCustomData xmlns:go="http://customooxmlschemas.google.com/" r:id="rId6" roundtripDataChecksum="imtfz1U61aJud0Mbe4Im3cQYcbDbLvXPYMyfk2DUK9o="/>
    </ext>
  </extLst>
</workbook>
</file>

<file path=xl/sharedStrings.xml><?xml version="1.0" encoding="utf-8"?>
<sst xmlns="http://schemas.openxmlformats.org/spreadsheetml/2006/main" count="80" uniqueCount="39">
  <si>
    <t>Control del Sprint</t>
  </si>
  <si>
    <t>Ejemplo1</t>
  </si>
  <si>
    <t>Historias de Usuario o Spike</t>
  </si>
  <si>
    <t>horas estimadas</t>
  </si>
  <si>
    <t>DIA</t>
  </si>
  <si>
    <t>Sprint 1</t>
  </si>
  <si>
    <t>ID Historia</t>
  </si>
  <si>
    <t>Total</t>
  </si>
  <si>
    <t>Tarea</t>
  </si>
  <si>
    <t>Estimación en Horas</t>
  </si>
  <si>
    <t>Dias</t>
  </si>
  <si>
    <t>Autenticación de usuarios</t>
  </si>
  <si>
    <t>US-01</t>
  </si>
  <si>
    <t>Análisis — Marco</t>
  </si>
  <si>
    <t>Consultar las ofertas de habitaciones.</t>
  </si>
  <si>
    <t>Diseño — Marco</t>
  </si>
  <si>
    <t>Codificación — Marco</t>
  </si>
  <si>
    <t>Pruebas — Nicolás</t>
  </si>
  <si>
    <t>Mantención de datos</t>
  </si>
  <si>
    <t>US-02</t>
  </si>
  <si>
    <t>Publicar las ofertas.</t>
  </si>
  <si>
    <t>Despublicar las ofertas.</t>
  </si>
  <si>
    <t>Crear una cuenta de cliente.</t>
  </si>
  <si>
    <t>US-03</t>
  </si>
  <si>
    <t>Análisis — Nicolás</t>
  </si>
  <si>
    <t>Diseño — Nicolás</t>
  </si>
  <si>
    <t>Codificación — Nicolás</t>
  </si>
  <si>
    <t>Reales de producto por realizar</t>
  </si>
  <si>
    <t>Pruebas — Felipe</t>
  </si>
  <si>
    <t>US-04</t>
  </si>
  <si>
    <t>US-05</t>
  </si>
  <si>
    <t>US-06</t>
  </si>
  <si>
    <t>Estimadas de producto por realizar</t>
  </si>
  <si>
    <t>US-07</t>
  </si>
  <si>
    <t>Análisis — Felipe</t>
  </si>
  <si>
    <t>Diseño — Felipe</t>
  </si>
  <si>
    <t>Codificación — Felipe</t>
  </si>
  <si>
    <t>Pruebas — Marco</t>
  </si>
  <si>
    <t>Días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</si>
</sst>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6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/>
    <font>
      <b/>
      <sz val="11.0"/>
      <color rgb="FF000000"/>
      <name val="Calibri"/>
    </font>
    <font>
      <sz val="11.0"/>
      <color rgb="FF000000"/>
      <name val="Calibri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0CECE"/>
        <bgColor rgb="FFD0CECE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Font="1"/>
    <xf borderId="1" fillId="0" fontId="3" numFmtId="0" xfId="0" applyAlignment="1" applyBorder="1" applyFont="1">
      <alignment horizontal="center" shrinkToFit="0" vertical="bottom" wrapText="0"/>
    </xf>
    <xf borderId="2" fillId="0" fontId="3" numFmtId="0" xfId="0" applyAlignment="1" applyBorder="1" applyFont="1">
      <alignment horizontal="center" shrinkToFit="0" vertical="bottom" wrapText="0"/>
    </xf>
    <xf borderId="3" fillId="0" fontId="4" numFmtId="0" xfId="0" applyBorder="1" applyFont="1"/>
    <xf borderId="0" fillId="0" fontId="5" numFmtId="0" xfId="0" applyAlignment="1" applyFont="1">
      <alignment horizontal="center" readingOrder="0" shrinkToFit="0" vertical="center" wrapText="1"/>
    </xf>
    <xf borderId="4" fillId="0" fontId="4" numFmtId="0" xfId="0" applyBorder="1" applyFont="1"/>
    <xf borderId="5" fillId="0" fontId="4" numFmtId="0" xfId="0" applyBorder="1" applyFont="1"/>
    <xf borderId="1" fillId="0" fontId="5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shrinkToFit="0" vertical="bottom" wrapText="0"/>
    </xf>
    <xf borderId="2" fillId="0" fontId="2" numFmtId="0" xfId="0" applyAlignment="1" applyBorder="1" applyFont="1">
      <alignment horizontal="center" readingOrder="0" shrinkToFit="0" vertical="center" wrapText="1"/>
    </xf>
    <xf borderId="6" fillId="0" fontId="4" numFmtId="0" xfId="0" applyBorder="1" applyFont="1"/>
    <xf borderId="7" fillId="2" fontId="3" numFmtId="0" xfId="0" applyAlignment="1" applyBorder="1" applyFill="1" applyFont="1">
      <alignment shrinkToFit="0" vertical="bottom" wrapText="0"/>
    </xf>
    <xf borderId="1" fillId="0" fontId="2" numFmtId="0" xfId="0" applyAlignment="1" applyBorder="1" applyFont="1">
      <alignment horizontal="center" readingOrder="0" shrinkToFit="0" vertical="center" wrapText="1"/>
    </xf>
    <xf borderId="8" fillId="2" fontId="3" numFmtId="0" xfId="0" applyAlignment="1" applyBorder="1" applyFill="1" applyFont="1">
      <alignment horizontal="center" shrinkToFit="0" vertical="bottom" wrapText="1"/>
    </xf>
    <xf borderId="9" fillId="0" fontId="3" numFmtId="0" xfId="0" applyAlignment="1" applyBorder="1" applyFont="1">
      <alignment shrinkToFit="0" vertical="bottom" wrapText="0"/>
    </xf>
    <xf borderId="10" fillId="0" fontId="3" numFmtId="0" xfId="0" applyAlignment="1" applyBorder="1" applyFont="1">
      <alignment shrinkToFit="0" vertical="bottom" wrapText="0"/>
    </xf>
    <xf borderId="11" fillId="0" fontId="2" numFmtId="0" xfId="0" applyAlignment="1" applyBorder="1" applyFont="1">
      <alignment horizontal="center" readingOrder="0"/>
    </xf>
    <xf borderId="0" fillId="0" fontId="6" numFmtId="0" xfId="0" applyAlignment="1" applyFont="1">
      <alignment horizontal="center" readingOrder="0" shrinkToFit="0" wrapText="1"/>
    </xf>
    <xf borderId="11" fillId="0" fontId="6" numFmtId="0" xfId="0" applyAlignment="1" applyBorder="1" applyFont="1">
      <alignment horizontal="center" readingOrder="0" shrinkToFit="0" wrapText="1"/>
    </xf>
    <xf borderId="11" fillId="0" fontId="7" numFmtId="0" xfId="0" applyAlignment="1" applyBorder="1" applyFont="1">
      <alignment horizontal="center" readingOrder="0" vertical="bottom"/>
    </xf>
    <xf borderId="11" fillId="0" fontId="7" numFmtId="0" xfId="0" applyAlignment="1" applyBorder="1" applyFont="1">
      <alignment horizontal="center" vertical="bottom"/>
    </xf>
    <xf borderId="11" fillId="0" fontId="2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shrinkToFit="0" vertical="bottom" wrapText="0"/>
    </xf>
    <xf borderId="2" fillId="0" fontId="3" numFmtId="0" xfId="0" applyAlignment="1" applyBorder="1" applyFont="1">
      <alignment horizontal="center" shrinkToFit="0" vertical="bottom" wrapText="1"/>
    </xf>
    <xf borderId="11" fillId="0" fontId="2" numFmtId="0" xfId="0" applyAlignment="1" applyBorder="1" applyFont="1">
      <alignment horizontal="center"/>
    </xf>
    <xf borderId="12" fillId="0" fontId="3" numFmtId="0" xfId="0" applyAlignment="1" applyBorder="1" applyFont="1">
      <alignment shrinkToFit="0" vertical="bottom" wrapText="0"/>
    </xf>
    <xf borderId="11" fillId="0" fontId="2" numFmtId="0" xfId="0" applyAlignment="1" applyBorder="1" applyFont="1">
      <alignment horizontal="center"/>
    </xf>
    <xf borderId="6" fillId="0" fontId="3" numFmtId="0" xfId="0" applyAlignment="1" applyBorder="1" applyFont="1">
      <alignment shrinkToFit="0" vertical="bottom" wrapText="0"/>
    </xf>
    <xf borderId="13" fillId="2" fontId="3" numFmtId="0" xfId="0" applyAlignment="1" applyBorder="1" applyFill="1" applyFont="1">
      <alignment shrinkToFit="0" vertical="bottom" wrapText="0"/>
    </xf>
    <xf borderId="14" fillId="2" fontId="3" numFmtId="0" xfId="0" applyAlignment="1" applyBorder="1" applyFill="1" applyFont="1">
      <alignment horizontal="center" shrinkToFit="0" vertical="bottom" wrapText="1"/>
    </xf>
    <xf borderId="15" fillId="0" fontId="3" numFmtId="0" xfId="0" applyAlignment="1" applyBorder="1" applyFont="1">
      <alignment shrinkToFit="0" vertical="bottom" wrapText="0"/>
    </xf>
    <xf borderId="16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horizontal="center" shrinkToFit="0" vertical="bottom" wrapText="1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2000">
                <a:solidFill>
                  <a:srgbClr val="595959"/>
                </a:solidFill>
                <a:latin typeface="Calibri"/>
              </a:defRPr>
            </a:pPr>
            <a:r>
              <a:rPr b="0" i="0" sz="2000">
                <a:solidFill>
                  <a:srgbClr val="595959"/>
                </a:solidFill>
                <a:latin typeface="Calibri"/>
              </a:rPr>
              <a:t>BurnDown Trabajo Pendiente</a:t>
            </a:r>
          </a:p>
        </c:rich>
      </c:tx>
      <c:overlay val="0"/>
    </c:title>
    <c:plotArea>
      <c:layout/>
      <c:lineChart>
        <c:ser>
          <c:idx val="0"/>
          <c:order val="0"/>
          <c:tx>
            <c:v>Reales de producto por realizar</c:v>
          </c:tx>
          <c:spPr>
            <a:ln cmpd="sng" w="38100">
              <a:solidFill>
                <a:srgbClr val="5B9BD5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Ejemplo1!$C$4:$V$4</c:f>
            </c:strRef>
          </c:cat>
          <c:val>
            <c:numRef>
              <c:f>Ejemplo1!$B$12:$V$12</c:f>
              <c:numCache/>
            </c:numRef>
          </c:val>
          <c:smooth val="0"/>
        </c:ser>
        <c:ser>
          <c:idx val="1"/>
          <c:order val="1"/>
          <c:tx>
            <c:v>Estimadas de producto por realizar</c:v>
          </c:tx>
          <c:spPr>
            <a:ln cmpd="sng" w="38100">
              <a:solidFill>
                <a:srgbClr val="ED7D31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Ejemplo1!$C$4:$V$4</c:f>
            </c:strRef>
          </c:cat>
          <c:val>
            <c:numRef>
              <c:f>Ejemplo1!$B$14:$V$14</c:f>
              <c:numCache/>
            </c:numRef>
          </c:val>
          <c:smooth val="0"/>
        </c:ser>
        <c:axId val="418058163"/>
        <c:axId val="1120901102"/>
      </c:lineChart>
      <c:catAx>
        <c:axId val="4180581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595959"/>
                    </a:solidFill>
                    <a:latin typeface="Calibri"/>
                  </a:defRPr>
                </a:pPr>
                <a:r>
                  <a:rPr b="0" i="0" sz="900">
                    <a:solidFill>
                      <a:srgbClr val="595959"/>
                    </a:solidFill>
                    <a:latin typeface="Calibri"/>
                  </a:rPr>
                  <a:t>DIA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595959"/>
                </a:solidFill>
                <a:latin typeface="Calibri"/>
              </a:defRPr>
            </a:pPr>
          </a:p>
        </c:txPr>
        <c:crossAx val="1120901102"/>
      </c:catAx>
      <c:valAx>
        <c:axId val="11209011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595959"/>
                    </a:solidFill>
                    <a:latin typeface="Calibri"/>
                  </a:defRPr>
                </a:pPr>
                <a:r>
                  <a:rPr b="0" i="0" sz="900">
                    <a:solidFill>
                      <a:srgbClr val="595959"/>
                    </a:solidFill>
                    <a:latin typeface="Calibri"/>
                  </a:rPr>
                  <a:t>HORAS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595959"/>
                </a:solidFill>
                <a:latin typeface="Calibri"/>
              </a:defRPr>
            </a:pPr>
          </a:p>
        </c:txPr>
        <c:crossAx val="418058163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595959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Estimadas de producto por realizar y Reales de producto por realizar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'Sprint 1'!$B$36</c:f>
            </c:strRef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'Sprint 1'!$C$35:$M$35</c:f>
            </c:strRef>
          </c:cat>
          <c:val>
            <c:numRef>
              <c:f>'Sprint 1'!$C$36:$M$36</c:f>
              <c:numCache/>
            </c:numRef>
          </c:val>
          <c:smooth val="0"/>
        </c:ser>
        <c:ser>
          <c:idx val="1"/>
          <c:order val="1"/>
          <c:tx>
            <c:strRef>
              <c:f>'Sprint 1'!$B$37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'Sprint 1'!$C$35:$M$35</c:f>
            </c:strRef>
          </c:cat>
          <c:val>
            <c:numRef>
              <c:f>'Sprint 1'!$C$37:$M$37</c:f>
              <c:numCache/>
            </c:numRef>
          </c:val>
          <c:smooth val="0"/>
        </c:ser>
        <c:axId val="1924969984"/>
        <c:axId val="1900859743"/>
      </c:lineChart>
      <c:catAx>
        <c:axId val="19249699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Días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0859743"/>
      </c:catAx>
      <c:valAx>
        <c:axId val="19008597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49699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23</xdr:col>
      <xdr:colOff>161925</xdr:colOff>
      <xdr:row>1</xdr:row>
      <xdr:rowOff>142875</xdr:rowOff>
    </xdr:from>
    <xdr:ext cx="3524250" cy="3600450"/>
    <xdr:graphicFrame>
      <xdr:nvGraphicFramePr>
        <xdr:cNvPr id="210092696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0</xdr:colOff>
      <xdr:row>2</xdr:row>
      <xdr:rowOff>0</xdr:rowOff>
    </xdr:from>
    <xdr:ext cx="6010275" cy="3714750"/>
    <xdr:graphicFrame>
      <xdr:nvGraphicFramePr>
        <xdr:cNvPr id="1451108506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43"/>
    <col customWidth="1" min="2" max="2" width="17.0"/>
    <col customWidth="1" min="3" max="3" width="4.0"/>
    <col customWidth="1" min="4" max="22" width="3.43"/>
    <col customWidth="1" min="23" max="29" width="10.71"/>
  </cols>
  <sheetData>
    <row r="1" ht="21.0" customHeight="1">
      <c r="A1" s="1" t="s">
        <v>0</v>
      </c>
      <c r="B1" s="2" t="s">
        <v>1</v>
      </c>
    </row>
    <row r="3">
      <c r="A3" s="3" t="s">
        <v>2</v>
      </c>
      <c r="B3" s="3" t="s">
        <v>3</v>
      </c>
      <c r="C3" s="4" t="s">
        <v>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7"/>
      <c r="W3" s="3" t="s">
        <v>7</v>
      </c>
    </row>
    <row r="4">
      <c r="A4" s="8"/>
      <c r="B4" s="8"/>
      <c r="C4" s="10">
        <v>1.0</v>
      </c>
      <c r="D4" s="10">
        <v>2.0</v>
      </c>
      <c r="E4" s="10">
        <v>3.0</v>
      </c>
      <c r="F4" s="10">
        <v>4.0</v>
      </c>
      <c r="G4" s="10">
        <v>5.0</v>
      </c>
      <c r="H4" s="10">
        <v>6.0</v>
      </c>
      <c r="I4" s="10">
        <v>7.0</v>
      </c>
      <c r="J4" s="10">
        <v>8.0</v>
      </c>
      <c r="K4" s="10">
        <v>9.0</v>
      </c>
      <c r="L4" s="10">
        <v>10.0</v>
      </c>
      <c r="M4" s="10">
        <v>11.0</v>
      </c>
      <c r="N4" s="10">
        <v>12.0</v>
      </c>
      <c r="O4" s="10">
        <v>13.0</v>
      </c>
      <c r="P4" s="10">
        <v>14.0</v>
      </c>
      <c r="Q4" s="10">
        <v>15.0</v>
      </c>
      <c r="R4" s="10">
        <v>16.0</v>
      </c>
      <c r="S4" s="10">
        <v>17.0</v>
      </c>
      <c r="T4" s="10">
        <v>18.0</v>
      </c>
      <c r="U4" s="10">
        <v>19.0</v>
      </c>
      <c r="V4" s="10">
        <v>20.0</v>
      </c>
      <c r="W4" s="12"/>
    </row>
    <row r="5">
      <c r="A5" s="13" t="s">
        <v>11</v>
      </c>
      <c r="B5" s="15">
        <v>8.0</v>
      </c>
      <c r="C5" s="16">
        <v>2.0</v>
      </c>
      <c r="D5" s="17">
        <v>2.0</v>
      </c>
      <c r="E5" s="17">
        <v>2.0</v>
      </c>
      <c r="F5" s="17">
        <v>1.0</v>
      </c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>
        <v>1.0</v>
      </c>
      <c r="W5" s="10">
        <f t="shared" ref="W5:W10" si="1">SUM(C5:V5)</f>
        <v>8</v>
      </c>
    </row>
    <row r="6">
      <c r="A6" s="24" t="s">
        <v>14</v>
      </c>
      <c r="B6" s="25">
        <v>24.0</v>
      </c>
      <c r="C6" s="27">
        <v>6.0</v>
      </c>
      <c r="D6" s="2">
        <v>4.0</v>
      </c>
      <c r="E6" s="2">
        <v>2.0</v>
      </c>
      <c r="F6" s="2">
        <v>2.0</v>
      </c>
      <c r="H6" s="2">
        <v>2.0</v>
      </c>
      <c r="I6" s="2">
        <v>2.0</v>
      </c>
      <c r="K6" s="2">
        <v>2.0</v>
      </c>
      <c r="L6" s="2">
        <v>3.0</v>
      </c>
      <c r="V6" s="2">
        <v>1.0</v>
      </c>
      <c r="W6" s="29">
        <f t="shared" si="1"/>
        <v>24</v>
      </c>
    </row>
    <row r="7">
      <c r="A7" s="30" t="s">
        <v>18</v>
      </c>
      <c r="B7" s="31">
        <v>34.0</v>
      </c>
      <c r="C7" s="27"/>
      <c r="E7" s="2">
        <v>6.0</v>
      </c>
      <c r="F7" s="2">
        <v>6.0</v>
      </c>
      <c r="G7" s="2">
        <v>8.0</v>
      </c>
      <c r="H7" s="2">
        <v>3.0</v>
      </c>
      <c r="I7" s="2">
        <v>3.0</v>
      </c>
      <c r="J7" s="2">
        <v>3.0</v>
      </c>
      <c r="K7" s="2">
        <v>2.0</v>
      </c>
      <c r="T7" s="2">
        <v>1.0</v>
      </c>
      <c r="U7" s="2">
        <v>1.0</v>
      </c>
      <c r="V7" s="2">
        <v>1.0</v>
      </c>
      <c r="W7" s="29">
        <f t="shared" si="1"/>
        <v>34</v>
      </c>
    </row>
    <row r="8">
      <c r="A8" s="24" t="s">
        <v>20</v>
      </c>
      <c r="B8" s="25">
        <v>14.0</v>
      </c>
      <c r="C8" s="27"/>
      <c r="N8" s="2">
        <v>4.0</v>
      </c>
      <c r="O8" s="2">
        <v>2.0</v>
      </c>
      <c r="P8" s="2">
        <v>2.0</v>
      </c>
      <c r="U8" s="2">
        <v>5.0</v>
      </c>
      <c r="V8" s="2">
        <v>1.0</v>
      </c>
      <c r="W8" s="29">
        <f t="shared" si="1"/>
        <v>14</v>
      </c>
    </row>
    <row r="9">
      <c r="A9" s="24" t="s">
        <v>21</v>
      </c>
      <c r="B9" s="25">
        <v>10.0</v>
      </c>
      <c r="C9" s="27"/>
      <c r="S9" s="2">
        <v>4.0</v>
      </c>
      <c r="T9" s="2">
        <v>4.0</v>
      </c>
      <c r="U9" s="2">
        <v>1.0</v>
      </c>
      <c r="V9" s="2">
        <v>1.0</v>
      </c>
      <c r="W9" s="29">
        <f t="shared" si="1"/>
        <v>10</v>
      </c>
    </row>
    <row r="10">
      <c r="A10" s="24" t="s">
        <v>22</v>
      </c>
      <c r="B10" s="25">
        <v>16.0</v>
      </c>
      <c r="C10" s="32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>
        <v>2.0</v>
      </c>
      <c r="Q10" s="33"/>
      <c r="R10" s="33"/>
      <c r="S10" s="33">
        <v>4.0</v>
      </c>
      <c r="T10" s="33">
        <v>4.0</v>
      </c>
      <c r="U10" s="33">
        <v>5.0</v>
      </c>
      <c r="V10" s="33">
        <v>1.0</v>
      </c>
      <c r="W10" s="34">
        <f t="shared" si="1"/>
        <v>16</v>
      </c>
    </row>
    <row r="12" ht="30.0" customHeight="1">
      <c r="A12" s="35" t="s">
        <v>27</v>
      </c>
      <c r="B12" s="2">
        <f>SUM(B5:B11)</f>
        <v>106</v>
      </c>
      <c r="C12" s="2">
        <f t="shared" ref="C12:V12" si="2">B12-SUM(C5:C10)</f>
        <v>98</v>
      </c>
      <c r="D12" s="2">
        <f t="shared" si="2"/>
        <v>92</v>
      </c>
      <c r="E12" s="2">
        <f t="shared" si="2"/>
        <v>82</v>
      </c>
      <c r="F12" s="2">
        <f t="shared" si="2"/>
        <v>73</v>
      </c>
      <c r="G12" s="2">
        <f t="shared" si="2"/>
        <v>65</v>
      </c>
      <c r="H12" s="2">
        <f t="shared" si="2"/>
        <v>60</v>
      </c>
      <c r="I12" s="2">
        <f t="shared" si="2"/>
        <v>55</v>
      </c>
      <c r="J12" s="2">
        <f t="shared" si="2"/>
        <v>52</v>
      </c>
      <c r="K12" s="2">
        <f t="shared" si="2"/>
        <v>48</v>
      </c>
      <c r="L12" s="2">
        <f t="shared" si="2"/>
        <v>45</v>
      </c>
      <c r="M12" s="2">
        <f t="shared" si="2"/>
        <v>45</v>
      </c>
      <c r="N12" s="2">
        <f t="shared" si="2"/>
        <v>41</v>
      </c>
      <c r="O12" s="2">
        <f t="shared" si="2"/>
        <v>39</v>
      </c>
      <c r="P12" s="2">
        <f t="shared" si="2"/>
        <v>35</v>
      </c>
      <c r="Q12" s="2">
        <f t="shared" si="2"/>
        <v>35</v>
      </c>
      <c r="R12" s="2">
        <f t="shared" si="2"/>
        <v>35</v>
      </c>
      <c r="S12" s="2">
        <f t="shared" si="2"/>
        <v>27</v>
      </c>
      <c r="T12" s="2">
        <f t="shared" si="2"/>
        <v>18</v>
      </c>
      <c r="U12" s="2">
        <f t="shared" si="2"/>
        <v>6</v>
      </c>
      <c r="V12" s="2">
        <f t="shared" si="2"/>
        <v>0</v>
      </c>
    </row>
    <row r="14" ht="30.0" customHeight="1">
      <c r="A14" s="35" t="s">
        <v>32</v>
      </c>
      <c r="B14" s="2">
        <f>SUM(B5:B10)</f>
        <v>106</v>
      </c>
      <c r="C14" s="2">
        <f t="shared" ref="C14:V14" si="3">B14-(SUM($B$5:$B$10)/20)</f>
        <v>100.7</v>
      </c>
      <c r="D14" s="2">
        <f t="shared" si="3"/>
        <v>95.4</v>
      </c>
      <c r="E14" s="2">
        <f t="shared" si="3"/>
        <v>90.1</v>
      </c>
      <c r="F14" s="2">
        <f t="shared" si="3"/>
        <v>84.8</v>
      </c>
      <c r="G14" s="2">
        <f t="shared" si="3"/>
        <v>79.5</v>
      </c>
      <c r="H14" s="2">
        <f t="shared" si="3"/>
        <v>74.2</v>
      </c>
      <c r="I14" s="2">
        <f t="shared" si="3"/>
        <v>68.9</v>
      </c>
      <c r="J14" s="2">
        <f t="shared" si="3"/>
        <v>63.6</v>
      </c>
      <c r="K14" s="2">
        <f t="shared" si="3"/>
        <v>58.3</v>
      </c>
      <c r="L14" s="2">
        <f t="shared" si="3"/>
        <v>53</v>
      </c>
      <c r="M14" s="2">
        <f t="shared" si="3"/>
        <v>47.7</v>
      </c>
      <c r="N14" s="2">
        <f t="shared" si="3"/>
        <v>42.4</v>
      </c>
      <c r="O14" s="2">
        <f t="shared" si="3"/>
        <v>37.1</v>
      </c>
      <c r="P14" s="2">
        <f t="shared" si="3"/>
        <v>31.8</v>
      </c>
      <c r="Q14" s="2">
        <f t="shared" si="3"/>
        <v>26.5</v>
      </c>
      <c r="R14" s="2">
        <f t="shared" si="3"/>
        <v>21.2</v>
      </c>
      <c r="S14" s="2">
        <f t="shared" si="3"/>
        <v>15.9</v>
      </c>
      <c r="T14" s="2">
        <f t="shared" si="3"/>
        <v>10.6</v>
      </c>
      <c r="U14" s="2">
        <f t="shared" si="3"/>
        <v>5.3</v>
      </c>
      <c r="V14" s="2">
        <f t="shared" si="3"/>
        <v>0</v>
      </c>
    </row>
    <row r="16">
      <c r="B16" s="36"/>
    </row>
    <row r="17">
      <c r="B17" s="36"/>
      <c r="G17" s="36"/>
    </row>
    <row r="18">
      <c r="B18" s="36"/>
      <c r="G18" s="36"/>
    </row>
    <row r="19">
      <c r="B19" s="36"/>
      <c r="G19" s="36"/>
    </row>
    <row r="20">
      <c r="B20" s="36"/>
      <c r="G20" s="36"/>
    </row>
    <row r="21" ht="15.75" customHeight="1">
      <c r="B21" s="36"/>
      <c r="G21" s="36"/>
    </row>
    <row r="22" ht="15.75" customHeight="1">
      <c r="B22" s="36"/>
      <c r="G22" s="36"/>
    </row>
    <row r="23" ht="15.75" customHeight="1">
      <c r="B23" s="36"/>
    </row>
    <row r="24" ht="15.75" customHeight="1">
      <c r="B24" s="36"/>
    </row>
    <row r="25" ht="15.75" customHeight="1">
      <c r="B25" s="3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3:A4"/>
    <mergeCell ref="B3:B4"/>
    <mergeCell ref="C3:V3"/>
    <mergeCell ref="W3:W4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.86"/>
    <col customWidth="1" min="2" max="2" width="22.0"/>
    <col customWidth="1" min="3" max="3" width="27.29"/>
    <col customWidth="1" min="5" max="6" width="4.14"/>
    <col customWidth="1" min="7" max="8" width="3.43"/>
    <col customWidth="1" min="9" max="9" width="3.0"/>
    <col customWidth="1" min="10" max="10" width="5.0"/>
    <col customWidth="1" min="11" max="11" width="3.86"/>
    <col customWidth="1" min="12" max="12" width="5.86"/>
    <col customWidth="1" min="13" max="13" width="3.43"/>
    <col customWidth="1" min="14" max="14" width="3.0"/>
    <col customWidth="1" min="15" max="15" width="11.43"/>
    <col customWidth="1" min="16" max="16" width="0.86"/>
  </cols>
  <sheetData>
    <row r="1">
      <c r="A1" s="1"/>
      <c r="B1" s="1" t="s">
        <v>0</v>
      </c>
      <c r="C1" s="2" t="s">
        <v>5</v>
      </c>
    </row>
    <row r="3">
      <c r="A3" s="6"/>
      <c r="B3" s="9" t="s">
        <v>6</v>
      </c>
      <c r="C3" s="9" t="s">
        <v>8</v>
      </c>
      <c r="D3" s="9" t="s">
        <v>9</v>
      </c>
      <c r="E3" s="11" t="s">
        <v>10</v>
      </c>
      <c r="F3" s="5"/>
      <c r="G3" s="5"/>
      <c r="H3" s="5"/>
      <c r="I3" s="5"/>
      <c r="J3" s="5"/>
      <c r="K3" s="5"/>
      <c r="L3" s="5"/>
      <c r="M3" s="5"/>
      <c r="N3" s="7"/>
      <c r="O3" s="14" t="s">
        <v>7</v>
      </c>
    </row>
    <row r="4">
      <c r="A4" s="6"/>
      <c r="B4" s="8"/>
      <c r="C4" s="8"/>
      <c r="D4" s="8"/>
      <c r="E4" s="18">
        <v>1.0</v>
      </c>
      <c r="F4" s="18">
        <v>2.0</v>
      </c>
      <c r="G4" s="18">
        <v>3.0</v>
      </c>
      <c r="H4" s="18">
        <v>4.0</v>
      </c>
      <c r="I4" s="18">
        <v>5.0</v>
      </c>
      <c r="J4" s="18">
        <v>6.0</v>
      </c>
      <c r="K4" s="18">
        <v>7.0</v>
      </c>
      <c r="L4" s="18">
        <v>8.0</v>
      </c>
      <c r="M4" s="18">
        <v>9.0</v>
      </c>
      <c r="N4" s="18">
        <v>10.0</v>
      </c>
      <c r="O4" s="12"/>
    </row>
    <row r="5">
      <c r="A5" s="19"/>
      <c r="B5" s="20" t="s">
        <v>12</v>
      </c>
      <c r="C5" s="20" t="s">
        <v>13</v>
      </c>
      <c r="D5" s="20">
        <v>1.0</v>
      </c>
      <c r="E5" s="21">
        <v>1.0</v>
      </c>
      <c r="F5" s="22"/>
      <c r="G5" s="22"/>
      <c r="H5" s="22"/>
      <c r="I5" s="22"/>
      <c r="J5" s="22"/>
      <c r="K5" s="22"/>
      <c r="L5" s="22"/>
      <c r="M5" s="22"/>
      <c r="N5" s="22"/>
      <c r="O5" s="23">
        <v>1.0</v>
      </c>
    </row>
    <row r="6">
      <c r="A6" s="19"/>
      <c r="B6" s="20" t="s">
        <v>12</v>
      </c>
      <c r="C6" s="20" t="s">
        <v>15</v>
      </c>
      <c r="D6" s="20">
        <v>2.0</v>
      </c>
      <c r="E6" s="22"/>
      <c r="F6" s="21">
        <v>1.0</v>
      </c>
      <c r="G6" s="21">
        <v>1.0</v>
      </c>
      <c r="H6" s="22"/>
      <c r="I6" s="22"/>
      <c r="J6" s="22"/>
      <c r="K6" s="22"/>
      <c r="L6" s="22"/>
      <c r="M6" s="22"/>
      <c r="N6" s="22"/>
      <c r="O6" s="26">
        <v>2.0</v>
      </c>
    </row>
    <row r="7">
      <c r="A7" s="19"/>
      <c r="B7" s="20" t="s">
        <v>12</v>
      </c>
      <c r="C7" s="20" t="s">
        <v>16</v>
      </c>
      <c r="D7" s="20">
        <v>5.0</v>
      </c>
      <c r="E7" s="22"/>
      <c r="F7" s="22"/>
      <c r="G7" s="21">
        <v>1.0</v>
      </c>
      <c r="H7" s="21">
        <v>1.0</v>
      </c>
      <c r="I7" s="21">
        <v>1.0</v>
      </c>
      <c r="J7" s="21">
        <v>1.0</v>
      </c>
      <c r="K7" s="21">
        <v>1.0</v>
      </c>
      <c r="L7" s="22"/>
      <c r="M7" s="22"/>
      <c r="N7" s="22"/>
      <c r="O7" s="28">
        <v>5.0</v>
      </c>
    </row>
    <row r="8">
      <c r="A8" s="19"/>
      <c r="B8" s="20" t="s">
        <v>12</v>
      </c>
      <c r="C8" s="20" t="s">
        <v>17</v>
      </c>
      <c r="D8" s="20">
        <v>2.0</v>
      </c>
      <c r="E8" s="22"/>
      <c r="F8" s="22"/>
      <c r="G8" s="22"/>
      <c r="H8" s="22"/>
      <c r="I8" s="22"/>
      <c r="J8" s="22"/>
      <c r="K8" s="21">
        <v>1.0</v>
      </c>
      <c r="L8" s="21">
        <v>1.0</v>
      </c>
      <c r="M8" s="22"/>
      <c r="N8" s="22"/>
      <c r="O8" s="28">
        <v>2.0</v>
      </c>
    </row>
    <row r="9">
      <c r="A9" s="19"/>
      <c r="B9" s="20" t="s">
        <v>19</v>
      </c>
      <c r="C9" s="20" t="s">
        <v>13</v>
      </c>
      <c r="D9" s="20">
        <v>2.0</v>
      </c>
      <c r="E9" s="21">
        <v>1.0</v>
      </c>
      <c r="F9" s="21">
        <v>1.0</v>
      </c>
      <c r="G9" s="22"/>
      <c r="H9" s="22"/>
      <c r="I9" s="22"/>
      <c r="J9" s="22"/>
      <c r="K9" s="22"/>
      <c r="L9" s="22"/>
      <c r="M9" s="22"/>
      <c r="N9" s="22"/>
      <c r="O9" s="28">
        <v>2.0</v>
      </c>
    </row>
    <row r="10">
      <c r="A10" s="19"/>
      <c r="B10" s="20" t="s">
        <v>19</v>
      </c>
      <c r="C10" s="20" t="s">
        <v>15</v>
      </c>
      <c r="D10" s="20">
        <v>3.0</v>
      </c>
      <c r="E10" s="22"/>
      <c r="F10" s="21">
        <v>1.0</v>
      </c>
      <c r="G10" s="21">
        <v>1.0</v>
      </c>
      <c r="H10" s="21">
        <v>1.0</v>
      </c>
      <c r="I10" s="22"/>
      <c r="J10" s="22"/>
      <c r="K10" s="22"/>
      <c r="L10" s="22"/>
      <c r="M10" s="22"/>
      <c r="N10" s="22"/>
      <c r="O10" s="28">
        <v>3.0</v>
      </c>
    </row>
    <row r="11">
      <c r="A11" s="19"/>
      <c r="B11" s="20" t="s">
        <v>19</v>
      </c>
      <c r="C11" s="20" t="s">
        <v>16</v>
      </c>
      <c r="D11" s="20">
        <v>8.0</v>
      </c>
      <c r="E11" s="22"/>
      <c r="F11" s="22"/>
      <c r="G11" s="21">
        <v>2.0</v>
      </c>
      <c r="H11" s="21">
        <v>2.0</v>
      </c>
      <c r="I11" s="21">
        <v>1.0</v>
      </c>
      <c r="J11" s="21">
        <v>1.0</v>
      </c>
      <c r="K11" s="21">
        <v>1.0</v>
      </c>
      <c r="L11" s="21">
        <v>1.0</v>
      </c>
      <c r="M11" s="22"/>
      <c r="N11" s="22"/>
      <c r="O11" s="28">
        <v>8.0</v>
      </c>
    </row>
    <row r="12">
      <c r="A12" s="19"/>
      <c r="B12" s="20" t="s">
        <v>19</v>
      </c>
      <c r="C12" s="20" t="s">
        <v>17</v>
      </c>
      <c r="D12" s="20">
        <v>3.0</v>
      </c>
      <c r="E12" s="22"/>
      <c r="F12" s="22"/>
      <c r="G12" s="22"/>
      <c r="H12" s="22"/>
      <c r="I12" s="22"/>
      <c r="J12" s="22"/>
      <c r="K12" s="22"/>
      <c r="L12" s="21">
        <v>1.0</v>
      </c>
      <c r="M12" s="21">
        <v>1.0</v>
      </c>
      <c r="N12" s="21">
        <v>1.0</v>
      </c>
      <c r="O12" s="28">
        <v>3.0</v>
      </c>
    </row>
    <row r="13">
      <c r="A13" s="19"/>
      <c r="B13" s="20" t="s">
        <v>23</v>
      </c>
      <c r="C13" s="20" t="s">
        <v>24</v>
      </c>
      <c r="D13" s="20">
        <v>1.0</v>
      </c>
      <c r="E13" s="21">
        <v>1.0</v>
      </c>
      <c r="F13" s="22"/>
      <c r="G13" s="22"/>
      <c r="H13" s="22"/>
      <c r="I13" s="22"/>
      <c r="J13" s="22"/>
      <c r="K13" s="22"/>
      <c r="L13" s="22"/>
      <c r="M13" s="22"/>
      <c r="N13" s="22"/>
      <c r="O13" s="28">
        <v>1.0</v>
      </c>
    </row>
    <row r="14">
      <c r="A14" s="19"/>
      <c r="B14" s="20" t="s">
        <v>23</v>
      </c>
      <c r="C14" s="20" t="s">
        <v>25</v>
      </c>
      <c r="D14" s="20">
        <v>1.0</v>
      </c>
      <c r="E14" s="22"/>
      <c r="F14" s="21">
        <v>1.0</v>
      </c>
      <c r="G14" s="22"/>
      <c r="H14" s="22"/>
      <c r="I14" s="22"/>
      <c r="J14" s="22"/>
      <c r="K14" s="22"/>
      <c r="L14" s="22"/>
      <c r="M14" s="22"/>
      <c r="N14" s="22"/>
      <c r="O14" s="28">
        <v>1.0</v>
      </c>
    </row>
    <row r="15">
      <c r="A15" s="19"/>
      <c r="B15" s="20" t="s">
        <v>23</v>
      </c>
      <c r="C15" s="20" t="s">
        <v>26</v>
      </c>
      <c r="D15" s="20">
        <v>3.0</v>
      </c>
      <c r="E15" s="22"/>
      <c r="F15" s="22"/>
      <c r="G15" s="21">
        <v>1.0</v>
      </c>
      <c r="H15" s="21">
        <v>1.0</v>
      </c>
      <c r="I15" s="21">
        <v>1.0</v>
      </c>
      <c r="J15" s="22"/>
      <c r="K15" s="22"/>
      <c r="L15" s="22"/>
      <c r="M15" s="22"/>
      <c r="N15" s="22"/>
      <c r="O15" s="28">
        <v>3.0</v>
      </c>
    </row>
    <row r="16">
      <c r="A16" s="19"/>
      <c r="B16" s="20" t="s">
        <v>23</v>
      </c>
      <c r="C16" s="20" t="s">
        <v>28</v>
      </c>
      <c r="D16" s="20">
        <v>1.0</v>
      </c>
      <c r="E16" s="22"/>
      <c r="F16" s="22"/>
      <c r="G16" s="22"/>
      <c r="H16" s="22"/>
      <c r="I16" s="22"/>
      <c r="J16" s="22"/>
      <c r="K16" s="21">
        <v>1.0</v>
      </c>
      <c r="L16" s="22"/>
      <c r="M16" s="22"/>
      <c r="N16" s="22"/>
      <c r="O16" s="28">
        <v>1.0</v>
      </c>
    </row>
    <row r="17">
      <c r="A17" s="19"/>
      <c r="B17" s="20" t="s">
        <v>29</v>
      </c>
      <c r="C17" s="20" t="s">
        <v>24</v>
      </c>
      <c r="D17" s="20">
        <v>1.0</v>
      </c>
      <c r="E17" s="21">
        <v>1.0</v>
      </c>
      <c r="F17" s="22"/>
      <c r="G17" s="22"/>
      <c r="H17" s="22"/>
      <c r="I17" s="22"/>
      <c r="J17" s="22"/>
      <c r="K17" s="22"/>
      <c r="L17" s="22"/>
      <c r="M17" s="22"/>
      <c r="N17" s="22"/>
      <c r="O17" s="28">
        <v>1.0</v>
      </c>
    </row>
    <row r="18">
      <c r="A18" s="19"/>
      <c r="B18" s="20" t="s">
        <v>29</v>
      </c>
      <c r="C18" s="20" t="s">
        <v>25</v>
      </c>
      <c r="D18" s="20">
        <v>2.0</v>
      </c>
      <c r="E18" s="22"/>
      <c r="F18" s="21">
        <v>1.0</v>
      </c>
      <c r="G18" s="21">
        <v>1.0</v>
      </c>
      <c r="H18" s="22"/>
      <c r="I18" s="22"/>
      <c r="J18" s="22"/>
      <c r="K18" s="22"/>
      <c r="L18" s="22"/>
      <c r="M18" s="22"/>
      <c r="N18" s="22"/>
      <c r="O18" s="28">
        <v>2.0</v>
      </c>
    </row>
    <row r="19">
      <c r="A19" s="19"/>
      <c r="B19" s="20" t="s">
        <v>29</v>
      </c>
      <c r="C19" s="20" t="s">
        <v>26</v>
      </c>
      <c r="D19" s="20">
        <v>5.0</v>
      </c>
      <c r="E19" s="22"/>
      <c r="F19" s="22"/>
      <c r="G19" s="21">
        <v>1.0</v>
      </c>
      <c r="H19" s="21">
        <v>1.0</v>
      </c>
      <c r="I19" s="21">
        <v>1.0</v>
      </c>
      <c r="J19" s="21">
        <v>1.0</v>
      </c>
      <c r="K19" s="21">
        <v>1.0</v>
      </c>
      <c r="L19" s="22"/>
      <c r="M19" s="22"/>
      <c r="N19" s="22"/>
      <c r="O19" s="28">
        <v>5.0</v>
      </c>
    </row>
    <row r="20">
      <c r="A20" s="19"/>
      <c r="B20" s="20" t="s">
        <v>29</v>
      </c>
      <c r="C20" s="20" t="s">
        <v>28</v>
      </c>
      <c r="D20" s="20">
        <v>2.0</v>
      </c>
      <c r="E20" s="22"/>
      <c r="F20" s="22"/>
      <c r="G20" s="22"/>
      <c r="H20" s="22"/>
      <c r="I20" s="22"/>
      <c r="J20" s="22"/>
      <c r="K20" s="21">
        <v>1.0</v>
      </c>
      <c r="L20" s="21">
        <v>1.0</v>
      </c>
      <c r="M20" s="22"/>
      <c r="N20" s="22"/>
      <c r="O20" s="28">
        <v>2.0</v>
      </c>
    </row>
    <row r="21">
      <c r="A21" s="19"/>
      <c r="B21" s="20" t="s">
        <v>30</v>
      </c>
      <c r="C21" s="20" t="s">
        <v>24</v>
      </c>
      <c r="D21" s="20">
        <v>1.0</v>
      </c>
      <c r="E21" s="21">
        <v>1.0</v>
      </c>
      <c r="F21" s="22"/>
      <c r="G21" s="22"/>
      <c r="H21" s="22"/>
      <c r="I21" s="22"/>
      <c r="J21" s="22"/>
      <c r="K21" s="22"/>
      <c r="L21" s="22"/>
      <c r="M21" s="22"/>
      <c r="N21" s="22"/>
      <c r="O21" s="28">
        <v>1.0</v>
      </c>
    </row>
    <row r="22">
      <c r="A22" s="19"/>
      <c r="B22" s="20" t="s">
        <v>30</v>
      </c>
      <c r="C22" s="20" t="s">
        <v>25</v>
      </c>
      <c r="D22" s="20">
        <v>2.0</v>
      </c>
      <c r="E22" s="22"/>
      <c r="F22" s="21">
        <v>1.0</v>
      </c>
      <c r="G22" s="21">
        <v>1.0</v>
      </c>
      <c r="H22" s="22"/>
      <c r="I22" s="22"/>
      <c r="J22" s="22"/>
      <c r="K22" s="22"/>
      <c r="L22" s="22"/>
      <c r="M22" s="22"/>
      <c r="N22" s="22"/>
      <c r="O22" s="28">
        <v>2.0</v>
      </c>
    </row>
    <row r="23">
      <c r="A23" s="19"/>
      <c r="B23" s="20" t="s">
        <v>30</v>
      </c>
      <c r="C23" s="20" t="s">
        <v>26</v>
      </c>
      <c r="D23" s="20">
        <v>5.0</v>
      </c>
      <c r="E23" s="22"/>
      <c r="F23" s="22"/>
      <c r="G23" s="21">
        <v>1.0</v>
      </c>
      <c r="H23" s="21">
        <v>1.0</v>
      </c>
      <c r="I23" s="21">
        <v>1.0</v>
      </c>
      <c r="J23" s="21">
        <v>1.0</v>
      </c>
      <c r="K23" s="21">
        <v>1.0</v>
      </c>
      <c r="L23" s="22"/>
      <c r="M23" s="22"/>
      <c r="N23" s="22"/>
      <c r="O23" s="28">
        <v>5.0</v>
      </c>
    </row>
    <row r="24">
      <c r="A24" s="19"/>
      <c r="B24" s="20" t="s">
        <v>30</v>
      </c>
      <c r="C24" s="20" t="s">
        <v>28</v>
      </c>
      <c r="D24" s="20">
        <v>2.0</v>
      </c>
      <c r="E24" s="22"/>
      <c r="F24" s="22"/>
      <c r="G24" s="22"/>
      <c r="H24" s="22"/>
      <c r="I24" s="22"/>
      <c r="J24" s="22"/>
      <c r="K24" s="21">
        <v>1.0</v>
      </c>
      <c r="L24" s="21">
        <v>1.0</v>
      </c>
      <c r="M24" s="22"/>
      <c r="N24" s="22"/>
      <c r="O24" s="28">
        <v>2.0</v>
      </c>
    </row>
    <row r="25">
      <c r="A25" s="19"/>
      <c r="B25" s="20" t="s">
        <v>31</v>
      </c>
      <c r="C25" s="20" t="s">
        <v>13</v>
      </c>
      <c r="D25" s="20">
        <v>3.0</v>
      </c>
      <c r="E25" s="21">
        <v>2.0</v>
      </c>
      <c r="F25" s="21">
        <v>1.0</v>
      </c>
      <c r="G25" s="22"/>
      <c r="H25" s="22"/>
      <c r="I25" s="22"/>
      <c r="J25" s="22"/>
      <c r="K25" s="22"/>
      <c r="L25" s="22"/>
      <c r="M25" s="22"/>
      <c r="N25" s="22"/>
      <c r="O25" s="28">
        <v>3.0</v>
      </c>
    </row>
    <row r="26">
      <c r="A26" s="19"/>
      <c r="B26" s="20" t="s">
        <v>31</v>
      </c>
      <c r="C26" s="20" t="s">
        <v>15</v>
      </c>
      <c r="D26" s="20">
        <v>5.0</v>
      </c>
      <c r="E26" s="22"/>
      <c r="F26" s="21">
        <v>2.0</v>
      </c>
      <c r="G26" s="21">
        <v>2.0</v>
      </c>
      <c r="H26" s="21">
        <v>1.0</v>
      </c>
      <c r="I26" s="22"/>
      <c r="J26" s="22"/>
      <c r="K26" s="22"/>
      <c r="L26" s="22"/>
      <c r="M26" s="22"/>
      <c r="N26" s="22"/>
      <c r="O26" s="28">
        <v>5.0</v>
      </c>
    </row>
    <row r="27">
      <c r="A27" s="19"/>
      <c r="B27" s="20" t="s">
        <v>31</v>
      </c>
      <c r="C27" s="20" t="s">
        <v>16</v>
      </c>
      <c r="D27" s="20">
        <v>13.0</v>
      </c>
      <c r="E27" s="22"/>
      <c r="F27" s="22"/>
      <c r="G27" s="21">
        <v>3.0</v>
      </c>
      <c r="H27" s="21">
        <v>2.0</v>
      </c>
      <c r="I27" s="21">
        <v>2.0</v>
      </c>
      <c r="J27" s="21">
        <v>2.0</v>
      </c>
      <c r="K27" s="21">
        <v>2.0</v>
      </c>
      <c r="L27" s="21">
        <v>2.0</v>
      </c>
      <c r="M27" s="22"/>
      <c r="N27" s="22"/>
      <c r="O27" s="28">
        <v>13.0</v>
      </c>
    </row>
    <row r="28">
      <c r="A28" s="19"/>
      <c r="B28" s="20" t="s">
        <v>31</v>
      </c>
      <c r="C28" s="20" t="s">
        <v>28</v>
      </c>
      <c r="D28" s="20">
        <v>5.0</v>
      </c>
      <c r="E28" s="22"/>
      <c r="F28" s="22"/>
      <c r="G28" s="22"/>
      <c r="H28" s="22"/>
      <c r="I28" s="22"/>
      <c r="J28" s="22"/>
      <c r="K28" s="21">
        <v>2.0</v>
      </c>
      <c r="L28" s="21">
        <v>1.0</v>
      </c>
      <c r="M28" s="21">
        <v>1.0</v>
      </c>
      <c r="N28" s="21">
        <v>1.0</v>
      </c>
      <c r="O28" s="28">
        <v>5.0</v>
      </c>
    </row>
    <row r="29">
      <c r="A29" s="19"/>
      <c r="B29" s="20" t="s">
        <v>33</v>
      </c>
      <c r="C29" s="20" t="s">
        <v>34</v>
      </c>
      <c r="D29" s="20">
        <v>2.0</v>
      </c>
      <c r="E29" s="21">
        <v>1.0</v>
      </c>
      <c r="F29" s="21">
        <v>1.0</v>
      </c>
      <c r="G29" s="22"/>
      <c r="H29" s="22"/>
      <c r="I29" s="22"/>
      <c r="J29" s="22"/>
      <c r="K29" s="22"/>
      <c r="L29" s="22"/>
      <c r="M29" s="22"/>
      <c r="N29" s="22"/>
      <c r="O29" s="28">
        <v>2.0</v>
      </c>
    </row>
    <row r="30">
      <c r="A30" s="19"/>
      <c r="B30" s="20" t="s">
        <v>33</v>
      </c>
      <c r="C30" s="20" t="s">
        <v>35</v>
      </c>
      <c r="D30" s="20">
        <v>3.0</v>
      </c>
      <c r="E30" s="22"/>
      <c r="F30" s="21">
        <v>1.0</v>
      </c>
      <c r="G30" s="21">
        <v>1.0</v>
      </c>
      <c r="H30" s="21">
        <v>1.0</v>
      </c>
      <c r="I30" s="22"/>
      <c r="J30" s="22"/>
      <c r="K30" s="22"/>
      <c r="L30" s="22"/>
      <c r="M30" s="22"/>
      <c r="N30" s="22"/>
      <c r="O30" s="28">
        <v>3.0</v>
      </c>
    </row>
    <row r="31">
      <c r="A31" s="19"/>
      <c r="B31" s="20" t="s">
        <v>33</v>
      </c>
      <c r="C31" s="20" t="s">
        <v>36</v>
      </c>
      <c r="D31" s="20">
        <v>8.0</v>
      </c>
      <c r="E31" s="22"/>
      <c r="F31" s="22"/>
      <c r="G31" s="21">
        <v>2.0</v>
      </c>
      <c r="H31" s="21">
        <v>2.0</v>
      </c>
      <c r="I31" s="21">
        <v>1.0</v>
      </c>
      <c r="J31" s="21">
        <v>1.0</v>
      </c>
      <c r="K31" s="21">
        <v>1.0</v>
      </c>
      <c r="L31" s="21">
        <v>1.0</v>
      </c>
      <c r="M31" s="22"/>
      <c r="N31" s="22"/>
      <c r="O31" s="28">
        <v>8.0</v>
      </c>
    </row>
    <row r="32">
      <c r="A32" s="19"/>
      <c r="B32" s="20" t="s">
        <v>33</v>
      </c>
      <c r="C32" s="20" t="s">
        <v>37</v>
      </c>
      <c r="D32" s="20">
        <v>3.0</v>
      </c>
      <c r="E32" s="22"/>
      <c r="F32" s="22"/>
      <c r="G32" s="22"/>
      <c r="H32" s="22"/>
      <c r="I32" s="22"/>
      <c r="J32" s="22"/>
      <c r="K32" s="21">
        <v>1.0</v>
      </c>
      <c r="L32" s="21">
        <v>1.0</v>
      </c>
      <c r="M32" s="21">
        <v>1.0</v>
      </c>
      <c r="N32" s="22"/>
      <c r="O32" s="28">
        <v>3.0</v>
      </c>
    </row>
    <row r="33">
      <c r="O33" s="2">
        <f>SUM(O4:O32)</f>
        <v>94</v>
      </c>
    </row>
    <row r="35">
      <c r="A35" s="37"/>
      <c r="B35" s="37" t="s">
        <v>38</v>
      </c>
      <c r="C35" s="38">
        <v>0.0</v>
      </c>
      <c r="D35" s="38">
        <v>1.0</v>
      </c>
      <c r="E35" s="38">
        <v>2.0</v>
      </c>
      <c r="F35" s="38">
        <v>3.0</v>
      </c>
      <c r="G35" s="38">
        <v>4.0</v>
      </c>
      <c r="H35" s="38">
        <v>5.0</v>
      </c>
      <c r="I35" s="38">
        <v>6.0</v>
      </c>
      <c r="J35" s="38">
        <v>7.0</v>
      </c>
      <c r="K35" s="38">
        <v>8.0</v>
      </c>
      <c r="L35" s="38">
        <v>9.0</v>
      </c>
      <c r="M35" s="38">
        <v>10.0</v>
      </c>
    </row>
    <row r="36">
      <c r="A36" s="39"/>
      <c r="B36" s="39" t="s">
        <v>32</v>
      </c>
      <c r="C36" s="38">
        <v>94.0</v>
      </c>
      <c r="D36" s="38">
        <v>85.0</v>
      </c>
      <c r="E36" s="38">
        <v>75.0</v>
      </c>
      <c r="F36" s="38">
        <v>66.0</v>
      </c>
      <c r="G36" s="38">
        <v>56.0</v>
      </c>
      <c r="H36" s="38">
        <v>47.0</v>
      </c>
      <c r="I36" s="38">
        <v>38.0</v>
      </c>
      <c r="J36" s="38">
        <v>28.0</v>
      </c>
      <c r="K36" s="38">
        <v>19.0</v>
      </c>
      <c r="L36" s="38">
        <v>9.0</v>
      </c>
      <c r="M36" s="38">
        <v>0.0</v>
      </c>
    </row>
    <row r="37">
      <c r="A37" s="39"/>
      <c r="B37" s="39" t="s">
        <v>27</v>
      </c>
      <c r="C37" s="38">
        <v>94.0</v>
      </c>
      <c r="D37" s="38">
        <v>86.0</v>
      </c>
      <c r="E37" s="38">
        <v>75.0</v>
      </c>
      <c r="F37" s="38">
        <v>57.0</v>
      </c>
      <c r="G37" s="38">
        <v>44.0</v>
      </c>
      <c r="H37" s="38">
        <v>36.0</v>
      </c>
      <c r="I37" s="38">
        <v>29.0</v>
      </c>
      <c r="J37" s="38">
        <v>15.0</v>
      </c>
      <c r="K37" s="38">
        <v>5.0</v>
      </c>
      <c r="L37" s="38">
        <v>2.0</v>
      </c>
      <c r="M37" s="38">
        <v>0.0</v>
      </c>
    </row>
  </sheetData>
  <mergeCells count="6">
    <mergeCell ref="E3:N3"/>
    <mergeCell ref="B3:B4"/>
    <mergeCell ref="C3:C4"/>
    <mergeCell ref="D3:D4"/>
    <mergeCell ref="O3:O4"/>
    <mergeCell ref="Q3:Z32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
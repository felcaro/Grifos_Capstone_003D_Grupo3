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  <sheet xmlns:r="http://schemas.openxmlformats.org/officeDocument/2006/relationships" name="Sprint 4" sheetId="4" state="visible" r:id="rId4"/>
    <sheet xmlns:r="http://schemas.openxmlformats.org/officeDocument/2006/relationships" name="Sprint 5" sheetId="5" state="visible" r:id="rId5"/>
    <sheet xmlns:r="http://schemas.openxmlformats.org/officeDocument/2006/relationships" name="Sprint 6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6"/>
    </font>
    <font>
      <name val="Calibri"/>
      <family val="2"/>
      <color rgb="FF595959"/>
      <sz val="20"/>
    </font>
    <font>
      <name val="Calibri"/>
      <family val="2"/>
      <color rgb="FF595959"/>
      <sz val="9"/>
    </font>
    <font>
      <name val="Calibri"/>
      <charset val="1"/>
      <family val="0"/>
      <b val="1"/>
      <sz val="16"/>
    </font>
    <font>
      <name val="Calibri"/>
      <charset val="1"/>
      <family val="0"/>
      <sz val="11"/>
    </font>
    <font>
      <name val="Calibri"/>
      <charset val="1"/>
      <family val="0"/>
      <b val="1"/>
      <sz val="11"/>
    </font>
    <font>
      <name val="Calibri"/>
      <charset val="1"/>
      <family val="0"/>
      <i val="1"/>
      <color rgb="FF595959"/>
      <sz val="9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D0CECE"/>
        <bgColor rgb="FFD9D9D9"/>
      </patternFill>
    </fill>
  </fills>
  <borders count="1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/>
      <right/>
      <top/>
      <bottom style="thin"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bottom"/>
    </xf>
    <xf numFmtId="0" fontId="0" fillId="0" borderId="2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0" fontId="0" fillId="2" borderId="4" applyAlignment="1" pivotButton="0" quotePrefix="0" xfId="0">
      <alignment horizontal="center" vertical="bottom" wrapText="1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 wrapText="1"/>
    </xf>
    <xf numFmtId="0" fontId="0" fillId="0" borderId="8" applyAlignment="1" pivotButton="0" quotePrefix="0" xfId="0">
      <alignment horizontal="general" vertical="bottom"/>
    </xf>
    <xf numFmtId="0" fontId="0" fillId="0" borderId="9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7" applyAlignment="1" pivotButton="0" quotePrefix="0" xfId="0">
      <alignment horizontal="center" vertical="bottom" wrapText="1"/>
    </xf>
    <xf numFmtId="0" fontId="0" fillId="0" borderId="4" applyAlignment="1" pivotButton="0" quotePrefix="0" xfId="0">
      <alignment horizontal="general" vertical="bottom"/>
    </xf>
    <xf numFmtId="0" fontId="0" fillId="0" borderId="10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5B9BD5"/>
      <rgbColor rgb="FF993366"/>
      <rgbColor rgb="FFFFFFCC"/>
      <rgbColor rgb="FFCCFFFF"/>
      <rgbColor rgb="FF660066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Trabajo Pendiente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"Reales de producto por realizar"</f>
              <strCache>
                <ptCount val="1"/>
                <pt idx="0">
                  <v>Reales de producto por realizar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3816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1'!$C$17:$H$17</f>
            </multiLvlStrRef>
          </cat>
          <val>
            <numRef>
              <f>'Sprint 1'!$C$19:$H$19</f>
              <numCache>
                <formatCode>0</formatCode>
                <ptCount val="6"/>
                <pt idx="0">
                  <v>10</v>
                </pt>
                <pt idx="1">
                  <v>8</v>
                </pt>
                <pt idx="2">
                  <v>6</v>
                </pt>
                <pt idx="3">
                  <v>3</v>
                </pt>
                <pt idx="4">
                  <v>1</v>
                </pt>
                <pt idx="5">
                  <v>0</v>
                </pt>
              </numCache>
            </numRef>
          </val>
          <smooth val="0"/>
        </ser>
        <ser>
          <idx val="1"/>
          <order val="1"/>
          <tx>
            <strRef>
              <f>"Estimadas de producto por realizar"</f>
              <strCache>
                <ptCount val="1"/>
                <pt idx="0">
                  <v>Estimadas de producto por realizar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38160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1'!$C$17:$H$17</f>
            </multiLvlStrRef>
          </cat>
          <val>
            <numRef>
              <f>'Sprint 1'!$C$18:$H$18</f>
              <numCache>
                <formatCode>0.0</formatCode>
                <ptCount val="6"/>
                <pt idx="0">
                  <v>10</v>
                </pt>
                <pt idx="1">
                  <v>8</v>
                </pt>
                <pt idx="2">
                  <v>6</v>
                </pt>
                <pt idx="3">
                  <v>4</v>
                </pt>
                <pt idx="4">
                  <v>2</v>
                </pt>
                <pt idx="5">
                  <v>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439110"/>
        <axId val="29324738"/>
      </lineChart>
      <catAx>
        <axId val="843911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29324738"/>
        <crosses val="autoZero"/>
        <auto val="1"/>
        <lblAlgn val="ctr"/>
        <lblOffset val="100"/>
        <noMultiLvlLbl val="0"/>
      </catAx>
      <valAx>
        <axId val="29324738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843911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Trabajo Pendiente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"Reales de producto por realizar"</f>
              <strCache>
                <ptCount val="1"/>
                <pt idx="0">
                  <v>Reales de producto por realizar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3816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2'!$C$13:$H$13</f>
            </multiLvlStrRef>
          </cat>
          <val>
            <numRef>
              <f>'Sprint 2'!$C$15:$H$15</f>
              <numCache>
                <formatCode>0</formatCode>
                <ptCount val="6"/>
                <pt idx="0">
                  <v>8</v>
                </pt>
                <pt idx="1">
                  <v>6</v>
                </pt>
                <pt idx="2">
                  <v>5</v>
                </pt>
                <pt idx="3">
                  <v>3</v>
                </pt>
                <pt idx="4">
                  <v>1</v>
                </pt>
                <pt idx="5">
                  <v>0</v>
                </pt>
              </numCache>
            </numRef>
          </val>
          <smooth val="0"/>
        </ser>
        <ser>
          <idx val="1"/>
          <order val="1"/>
          <tx>
            <strRef>
              <f>"Estimadas de producto por realizar"</f>
              <strCache>
                <ptCount val="1"/>
                <pt idx="0">
                  <v>Estimadas de producto por realizar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38160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2'!$C$13:$H$13</f>
            </multiLvlStrRef>
          </cat>
          <val>
            <numRef>
              <f>'Sprint 2'!$C$14:$H$14</f>
              <numCache>
                <formatCode>0.0</formatCode>
                <ptCount val="6"/>
                <pt idx="0">
                  <v>8</v>
                </pt>
                <pt idx="1">
                  <v>6.4</v>
                </pt>
                <pt idx="2">
                  <v>4.8</v>
                </pt>
                <pt idx="3">
                  <v>3.2</v>
                </pt>
                <pt idx="4">
                  <v>1.6</v>
                </pt>
                <pt idx="5">
                  <v>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2719051"/>
        <axId val="59130245"/>
      </lineChart>
      <catAx>
        <axId val="8271905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59130245"/>
        <crosses val="autoZero"/>
        <auto val="1"/>
        <lblAlgn val="ctr"/>
        <lblOffset val="100"/>
        <noMultiLvlLbl val="0"/>
      </catAx>
      <valAx>
        <axId val="59130245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8271905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Trabajo Pendiente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"Reales de producto por realizar"</f>
              <strCache>
                <ptCount val="1"/>
                <pt idx="0">
                  <v>Reales de producto por realizar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3816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3'!$C$13:$H$13</f>
            </multiLvlStrRef>
          </cat>
          <val>
            <numRef>
              <f>'Sprint 3'!$C$15:$H$15</f>
              <numCache>
                <formatCode>0</formatCode>
                <ptCount val="6"/>
                <pt idx="0">
                  <v>14</v>
                </pt>
                <pt idx="1">
                  <v>11</v>
                </pt>
                <pt idx="2">
                  <v>8</v>
                </pt>
                <pt idx="3">
                  <v>5</v>
                </pt>
                <pt idx="4">
                  <v>2</v>
                </pt>
                <pt idx="5">
                  <v>0</v>
                </pt>
              </numCache>
            </numRef>
          </val>
          <smooth val="0"/>
        </ser>
        <ser>
          <idx val="1"/>
          <order val="1"/>
          <tx>
            <strRef>
              <f>"Estimadas de producto por realizar"</f>
              <strCache>
                <ptCount val="1"/>
                <pt idx="0">
                  <v>Estimadas de producto por realizar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38160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3'!$C$13:$H$13</f>
            </multiLvlStrRef>
          </cat>
          <val>
            <numRef>
              <f>'Sprint 3'!$C$14:$H$14</f>
              <numCache>
                <formatCode>0.0</formatCode>
                <ptCount val="6"/>
                <pt idx="0">
                  <v>14</v>
                </pt>
                <pt idx="1">
                  <v>11.2</v>
                </pt>
                <pt idx="2">
                  <v>8.4</v>
                </pt>
                <pt idx="3">
                  <v>5.6</v>
                </pt>
                <pt idx="4">
                  <v>2.8</v>
                </pt>
                <pt idx="5">
                  <v>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3956301"/>
        <axId val="59552752"/>
      </lineChart>
      <catAx>
        <axId val="3956301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59552752"/>
        <crosses val="autoZero"/>
        <auto val="1"/>
        <lblAlgn val="ctr"/>
        <lblOffset val="100"/>
        <noMultiLvlLbl val="0"/>
      </catAx>
      <valAx>
        <axId val="59552752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395630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Trabajo Pendiente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"Reales de producto por realizar"</f>
              <strCache>
                <ptCount val="1"/>
                <pt idx="0">
                  <v>Reales de producto por realizar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3816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4'!$C$10:$H$10</f>
            </multiLvlStrRef>
          </cat>
          <val>
            <numRef>
              <f>'Sprint 4'!$C$12:$H$12</f>
              <numCache>
                <formatCode>0</formatCode>
                <ptCount val="6"/>
                <pt idx="0">
                  <v>6</v>
                </pt>
                <pt idx="1">
                  <v>5</v>
                </pt>
                <pt idx="2">
                  <v>3</v>
                </pt>
                <pt idx="3">
                  <v>2</v>
                </pt>
                <pt idx="4">
                  <v>1</v>
                </pt>
                <pt idx="5">
                  <v>0</v>
                </pt>
              </numCache>
            </numRef>
          </val>
          <smooth val="0"/>
        </ser>
        <ser>
          <idx val="1"/>
          <order val="1"/>
          <tx>
            <strRef>
              <f>"Estimadas de producto por realizar"</f>
              <strCache>
                <ptCount val="1"/>
                <pt idx="0">
                  <v>Estimadas de producto por realizar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38160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4'!$C$10:$H$10</f>
            </multiLvlStrRef>
          </cat>
          <val>
            <numRef>
              <f>'Sprint 4'!$C$11:$H$11</f>
              <numCache>
                <formatCode>0.0</formatCode>
                <ptCount val="6"/>
                <pt idx="0">
                  <v>6</v>
                </pt>
                <pt idx="1">
                  <v>4.8</v>
                </pt>
                <pt idx="2">
                  <v>3.6</v>
                </pt>
                <pt idx="3">
                  <v>2.4</v>
                </pt>
                <pt idx="4">
                  <v>1.2</v>
                </pt>
                <pt idx="5">
                  <v>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55378964"/>
        <axId val="60881138"/>
      </lineChart>
      <catAx>
        <axId val="55378964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60881138"/>
        <crosses val="autoZero"/>
        <auto val="1"/>
        <lblAlgn val="ctr"/>
        <lblOffset val="100"/>
        <noMultiLvlLbl val="0"/>
      </catAx>
      <valAx>
        <axId val="60881138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55378964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Trabajo Pendiente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"Reales de producto por realizar"</f>
              <strCache>
                <ptCount val="1"/>
                <pt idx="0">
                  <v>Reales de producto por realizar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3816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5'!$C$14:$H$14</f>
            </multiLvlStrRef>
          </cat>
          <val>
            <numRef>
              <f>'Sprint 5'!$C$16:$H$16</f>
              <numCache>
                <formatCode>0</formatCode>
                <ptCount val="6"/>
                <pt idx="0">
                  <v>8</v>
                </pt>
                <pt idx="1">
                  <v>6</v>
                </pt>
                <pt idx="2">
                  <v>4</v>
                </pt>
                <pt idx="3">
                  <v>3</v>
                </pt>
                <pt idx="4">
                  <v>1</v>
                </pt>
                <pt idx="5">
                  <v>0</v>
                </pt>
              </numCache>
            </numRef>
          </val>
          <smooth val="0"/>
        </ser>
        <ser>
          <idx val="1"/>
          <order val="1"/>
          <tx>
            <strRef>
              <f>"Estimadas de producto por realizar"</f>
              <strCache>
                <ptCount val="1"/>
                <pt idx="0">
                  <v>Estimadas de producto por realizar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38160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5'!$C$14:$H$14</f>
            </multiLvlStrRef>
          </cat>
          <val>
            <numRef>
              <f>'Sprint 5'!$C$15:$H$15</f>
              <numCache>
                <formatCode>0.0</formatCode>
                <ptCount val="6"/>
                <pt idx="0">
                  <v>8</v>
                </pt>
                <pt idx="1">
                  <v>6.4</v>
                </pt>
                <pt idx="2">
                  <v>4.8</v>
                </pt>
                <pt idx="3">
                  <v>3.2</v>
                </pt>
                <pt idx="4">
                  <v>1.6</v>
                </pt>
                <pt idx="5">
                  <v>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76255415"/>
        <axId val="12553976"/>
      </lineChart>
      <catAx>
        <axId val="7625541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12553976"/>
        <crosses val="autoZero"/>
        <auto val="1"/>
        <lblAlgn val="ctr"/>
        <lblOffset val="100"/>
        <noMultiLvlLbl val="0"/>
      </catAx>
      <valAx>
        <axId val="12553976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7625541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BurnDown Trabajo Pendiente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"Reales de producto por realizar"</f>
              <strCache>
                <ptCount val="1"/>
                <pt idx="0">
                  <v>Reales de producto por realizar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38160">
              <a:solidFill>
                <a:srgbClr val="5b9bd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6'!$C$11:$H$11</f>
            </multiLvlStrRef>
          </cat>
          <val>
            <numRef>
              <f>'Sprint 6'!$C$13:$H$13</f>
              <numCache>
                <formatCode>0</formatCode>
                <ptCount val="6"/>
                <pt idx="0">
                  <v>8</v>
                </pt>
                <pt idx="1">
                  <v>6</v>
                </pt>
                <pt idx="2">
                  <v>4</v>
                </pt>
                <pt idx="3">
                  <v>2</v>
                </pt>
                <pt idx="4">
                  <v>1</v>
                </pt>
                <pt idx="5">
                  <v>0</v>
                </pt>
              </numCache>
            </numRef>
          </val>
          <smooth val="0"/>
        </ser>
        <ser>
          <idx val="1"/>
          <order val="1"/>
          <tx>
            <strRef>
              <f>"Estimadas de producto por realizar"</f>
              <strCache>
                <ptCount val="1"/>
                <pt idx="0">
                  <v>Estimadas de producto por realizar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38160">
              <a:solidFill>
                <a:srgbClr val="ed7d3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  <lvl>
                  <pt idx="0">
                    <v>0</v>
                  </pt>
                </lvl>
              </multiLvlStrCache>
              <f>'Sprint 6'!$C$11:$H$11</f>
            </multiLvlStrRef>
          </cat>
          <val>
            <numRef>
              <f>'Sprint 6'!$C$12:$H$12</f>
              <numCache>
                <formatCode>0.0</formatCode>
                <ptCount val="6"/>
                <pt idx="0">
                  <v>8</v>
                </pt>
                <pt idx="1">
                  <v>6.4</v>
                </pt>
                <pt idx="2">
                  <v>4.8</v>
                </pt>
                <pt idx="3">
                  <v>3.2</v>
                </pt>
                <pt idx="4">
                  <v>1.6</v>
                </pt>
                <pt idx="5">
                  <v>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81915885"/>
        <axId val="39815814"/>
      </lineChart>
      <catAx>
        <axId val="81915885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DIA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39815814"/>
        <crosses val="autoZero"/>
        <auto val="1"/>
        <lblAlgn val="ctr"/>
        <lblOffset val="100"/>
        <noMultiLvlLbl val="0"/>
      </catAx>
      <valAx>
        <axId val="39815814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HORAS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t/>
            </a:r>
          </a:p>
        </txPr>
        <crossAx val="8191588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 editAs="oneCell">
    <from>
      <col>11</col>
      <colOff>0</colOff>
      <row>1</row>
      <rowOff>130680</rowOff>
    </from>
    <to>
      <col>20</col>
      <colOff>255960</colOff>
      <row>18</row>
      <rowOff>93600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11</col>
      <colOff>0</colOff>
      <row>1</row>
      <rowOff>130680</rowOff>
    </from>
    <to>
      <col>20</col>
      <colOff>255960</colOff>
      <row>18</row>
      <rowOff>93600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11</col>
      <colOff>0</colOff>
      <row>1</row>
      <rowOff>130680</rowOff>
    </from>
    <to>
      <col>20</col>
      <colOff>255960</colOff>
      <row>18</row>
      <rowOff>93600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11</col>
      <colOff>0</colOff>
      <row>1</row>
      <rowOff>130680</rowOff>
    </from>
    <to>
      <col>20</col>
      <colOff>255960</colOff>
      <row>18</row>
      <rowOff>93600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 editAs="oneCell">
    <from>
      <col>11</col>
      <colOff>0</colOff>
      <row>1</row>
      <rowOff>130680</rowOff>
    </from>
    <to>
      <col>20</col>
      <colOff>255960</colOff>
      <row>18</row>
      <rowOff>93600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 editAs="oneCell">
    <from>
      <col>11</col>
      <colOff>0</colOff>
      <row>1</row>
      <rowOff>130680</rowOff>
    </from>
    <to>
      <col>20</col>
      <colOff>255960</colOff>
      <row>17</row>
      <rowOff>114840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J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86" customWidth="1" style="31" min="1" max="1"/>
    <col width="34" customWidth="1" style="31" min="2" max="2"/>
    <col width="62" customWidth="1" style="31" min="3" max="3"/>
    <col width="12" customWidth="1" style="31" min="4" max="4"/>
    <col width="5" customWidth="1" style="31" min="5" max="9"/>
    <col width="9" customWidth="1" style="31" min="10" max="10"/>
  </cols>
  <sheetData>
    <row r="1" ht="19.7" customHeight="1" s="32">
      <c r="B1" s="33" t="inlineStr">
        <is>
          <t>Control del Sprint</t>
        </is>
      </c>
      <c r="C1" s="34" t="inlineStr">
        <is>
          <t>Sprint 1</t>
        </is>
      </c>
    </row>
    <row r="3" ht="15" customHeight="1" s="32">
      <c r="B3" s="35" t="inlineStr">
        <is>
          <t>ID Historia</t>
        </is>
      </c>
      <c r="C3" s="35" t="inlineStr">
        <is>
          <t>Tarea</t>
        </is>
      </c>
      <c r="D3" s="35" t="inlineStr">
        <is>
          <t>Estimación en Horas</t>
        </is>
      </c>
      <c r="E3" s="36" t="inlineStr">
        <is>
          <t>Dias</t>
        </is>
      </c>
      <c r="F3" s="37" t="n"/>
      <c r="G3" s="37" t="n"/>
      <c r="H3" s="37" t="n"/>
      <c r="I3" s="38" t="n"/>
      <c r="J3" s="36" t="inlineStr">
        <is>
          <t>Total</t>
        </is>
      </c>
    </row>
    <row r="4" ht="18" customHeight="1" s="32">
      <c r="B4" s="39" t="n"/>
      <c r="C4" s="39" t="n"/>
      <c r="D4" s="39" t="n"/>
      <c r="E4" s="36" t="n">
        <v>1</v>
      </c>
      <c r="F4" s="36" t="n">
        <v>2</v>
      </c>
      <c r="G4" s="36" t="n">
        <v>3</v>
      </c>
      <c r="H4" s="36" t="n">
        <v>4</v>
      </c>
      <c r="I4" s="36" t="n">
        <v>5</v>
      </c>
      <c r="J4" s="39" t="n"/>
    </row>
    <row r="5" ht="15" customHeight="1" s="32">
      <c r="B5" s="36" t="inlineStr">
        <is>
          <t>DOC-01</t>
        </is>
      </c>
      <c r="C5" s="40" t="inlineStr">
        <is>
          <t>Redacción de la Visión del Proyecto — Felipe</t>
        </is>
      </c>
      <c r="D5" s="36" t="n">
        <v>1</v>
      </c>
      <c r="E5" s="36" t="n">
        <v>1</v>
      </c>
      <c r="F5" s="36" t="n"/>
      <c r="G5" s="36" t="n"/>
      <c r="H5" s="36" t="n"/>
      <c r="I5" s="36" t="n"/>
      <c r="J5" s="36">
        <f>SUM(E5:I5)</f>
        <v/>
      </c>
    </row>
    <row r="6" ht="15" customHeight="1" s="32">
      <c r="B6" s="36" t="inlineStr">
        <is>
          <t>DOC-02</t>
        </is>
      </c>
      <c r="C6" s="40" t="inlineStr">
        <is>
          <t>Definición de roles Scrum — Marco</t>
        </is>
      </c>
      <c r="D6" s="36" t="n">
        <v>1</v>
      </c>
      <c r="E6" s="36" t="n">
        <v>1</v>
      </c>
      <c r="F6" s="36" t="n"/>
      <c r="G6" s="36" t="n"/>
      <c r="H6" s="36" t="n"/>
      <c r="I6" s="36" t="n"/>
      <c r="J6" s="36">
        <f>SUM(E6:I6)</f>
        <v/>
      </c>
    </row>
    <row r="7" ht="15" customHeight="1" s="32">
      <c r="B7" s="36" t="inlineStr">
        <is>
          <t>ENT-01</t>
        </is>
      </c>
      <c r="C7" s="40" t="inlineStr">
        <is>
          <t>Configuración del entorno local — Nicolás</t>
        </is>
      </c>
      <c r="D7" s="36" t="n">
        <v>1</v>
      </c>
      <c r="E7" s="36" t="n"/>
      <c r="F7" s="36" t="n">
        <v>1</v>
      </c>
      <c r="G7" s="36" t="n"/>
      <c r="H7" s="36" t="n"/>
      <c r="I7" s="36" t="n"/>
      <c r="J7" s="36">
        <f>SUM(E7:I7)</f>
        <v/>
      </c>
    </row>
    <row r="8" ht="15" customHeight="1" s="32">
      <c r="B8" s="36" t="inlineStr">
        <is>
          <t>US-01</t>
        </is>
      </c>
      <c r="C8" s="40" t="inlineStr">
        <is>
          <t>Análisis y diseño del mapa de grifos — Marco</t>
        </is>
      </c>
      <c r="D8" s="36" t="n">
        <v>1</v>
      </c>
      <c r="E8" s="36" t="n"/>
      <c r="F8" s="36" t="n">
        <v>1</v>
      </c>
      <c r="G8" s="36" t="n"/>
      <c r="H8" s="36" t="n"/>
      <c r="I8" s="36" t="n"/>
      <c r="J8" s="36">
        <f>SUM(E8:I8)</f>
        <v/>
      </c>
    </row>
    <row r="9" ht="15" customHeight="1" s="32">
      <c r="B9" s="36" t="inlineStr">
        <is>
          <t>US-01</t>
        </is>
      </c>
      <c r="C9" s="40" t="inlineStr">
        <is>
          <t>Codificación de la vista de mapa — Nicolás</t>
        </is>
      </c>
      <c r="D9" s="36" t="n">
        <v>1</v>
      </c>
      <c r="E9" s="36" t="n"/>
      <c r="F9" s="36" t="n"/>
      <c r="G9" s="36" t="n">
        <v>1</v>
      </c>
      <c r="H9" s="36" t="n"/>
      <c r="I9" s="36" t="n"/>
      <c r="J9" s="36">
        <f>SUM(E9:I9)</f>
        <v/>
      </c>
    </row>
    <row r="10" ht="15" customHeight="1" s="32">
      <c r="B10" s="36" t="inlineStr">
        <is>
          <t>US-01</t>
        </is>
      </c>
      <c r="C10" s="40" t="inlineStr">
        <is>
          <t>Pruebas de visualización — Felipe</t>
        </is>
      </c>
      <c r="D10" s="36" t="n">
        <v>1</v>
      </c>
      <c r="E10" s="36" t="n"/>
      <c r="F10" s="36" t="n"/>
      <c r="G10" s="36" t="n">
        <v>1</v>
      </c>
      <c r="H10" s="36" t="n"/>
      <c r="I10" s="36" t="n"/>
      <c r="J10" s="36">
        <f>SUM(E10:I10)</f>
        <v/>
      </c>
    </row>
    <row r="11" ht="15" customHeight="1" s="32">
      <c r="B11" s="36" t="inlineStr">
        <is>
          <t>US-02</t>
        </is>
      </c>
      <c r="C11" s="40" t="inlineStr">
        <is>
          <t>Análisis y diseño del grifo más cercano — Marco</t>
        </is>
      </c>
      <c r="D11" s="36" t="n">
        <v>1</v>
      </c>
      <c r="E11" s="36" t="n"/>
      <c r="F11" s="36" t="n"/>
      <c r="G11" s="36" t="n">
        <v>1</v>
      </c>
      <c r="H11" s="36" t="n"/>
      <c r="I11" s="36" t="n"/>
      <c r="J11" s="36">
        <f>SUM(E11:I11)</f>
        <v/>
      </c>
    </row>
    <row r="12" ht="15" customHeight="1" s="32">
      <c r="B12" s="36" t="inlineStr">
        <is>
          <t>US-02</t>
        </is>
      </c>
      <c r="C12" s="40" t="inlineStr">
        <is>
          <t>Codificación de búsqueda por GPS (PostGIS) — Marco</t>
        </is>
      </c>
      <c r="D12" s="36" t="n">
        <v>1</v>
      </c>
      <c r="E12" s="36" t="n"/>
      <c r="F12" s="36" t="n"/>
      <c r="G12" s="36" t="n"/>
      <c r="H12" s="36" t="n">
        <v>1</v>
      </c>
      <c r="I12" s="36" t="n"/>
      <c r="J12" s="36">
        <f>SUM(E12:I12)</f>
        <v/>
      </c>
    </row>
    <row r="13" ht="15" customHeight="1" s="32">
      <c r="B13" s="36" t="inlineStr">
        <is>
          <t>US-02</t>
        </is>
      </c>
      <c r="C13" s="40" t="inlineStr">
        <is>
          <t>Pruebas con ubicación GPS — Felipe</t>
        </is>
      </c>
      <c r="D13" s="36" t="n">
        <v>1</v>
      </c>
      <c r="E13" s="36" t="n"/>
      <c r="F13" s="36" t="n"/>
      <c r="G13" s="36" t="n"/>
      <c r="H13" s="36" t="n">
        <v>1</v>
      </c>
      <c r="I13" s="36" t="n"/>
      <c r="J13" s="36">
        <f>SUM(E13:I13)</f>
        <v/>
      </c>
    </row>
    <row r="14" ht="15" customHeight="1" s="32">
      <c r="B14" s="36" t="inlineStr">
        <is>
          <t>US-03</t>
        </is>
      </c>
      <c r="C14" s="40" t="inlineStr">
        <is>
          <t>Análisis (DESCARTADA) — Nicolás</t>
        </is>
      </c>
      <c r="D14" s="36" t="n">
        <v>1</v>
      </c>
      <c r="E14" s="36" t="n"/>
      <c r="F14" s="36" t="n"/>
      <c r="G14" s="36" t="n"/>
      <c r="H14" s="36" t="n"/>
      <c r="I14" s="36" t="n">
        <v>1</v>
      </c>
      <c r="J14" s="36">
        <f>SUM(E14:I14)</f>
        <v/>
      </c>
    </row>
    <row r="15" ht="15" customHeight="1" s="32">
      <c r="J15" s="41">
        <f>SUM(J5:J14)</f>
        <v/>
      </c>
    </row>
    <row r="17" ht="15" customHeight="1" s="32">
      <c r="B17" s="42" t="inlineStr">
        <is>
          <t>Días</t>
        </is>
      </c>
      <c r="C17" s="36" t="n">
        <v>0</v>
      </c>
      <c r="D17" s="36" t="n">
        <v>1</v>
      </c>
      <c r="E17" s="36" t="n">
        <v>2</v>
      </c>
      <c r="F17" s="36" t="n">
        <v>3</v>
      </c>
      <c r="G17" s="36" t="n">
        <v>4</v>
      </c>
      <c r="H17" s="36" t="n">
        <v>5</v>
      </c>
    </row>
    <row r="18" ht="15" customHeight="1" s="32">
      <c r="B18" s="42" t="inlineStr">
        <is>
          <t>Estimadas de producto por realizar</t>
        </is>
      </c>
      <c r="C18" s="43">
        <f>SUM($D$5:$D$14)</f>
        <v/>
      </c>
      <c r="D18" s="43">
        <f>ROUND(C18-SUM($D$5:$D$14)/MAX($E$4:$I$4),1)</f>
        <v/>
      </c>
      <c r="E18" s="43">
        <f>ROUND(D18-SUM($D$5:$D$14)/MAX($E$4:$I$4),1)</f>
        <v/>
      </c>
      <c r="F18" s="43">
        <f>ROUND(E18-SUM($D$5:$D$14)/MAX($E$4:$I$4),1)</f>
        <v/>
      </c>
      <c r="G18" s="43">
        <f>ROUND(F18-SUM($D$5:$D$14)/MAX($E$4:$I$4),1)</f>
        <v/>
      </c>
      <c r="H18" s="43">
        <f>ROUND(G18-SUM($D$5:$D$14)/MAX($E$4:$I$4),1)</f>
        <v/>
      </c>
    </row>
    <row r="19" ht="15" customHeight="1" s="32">
      <c r="B19" s="42" t="inlineStr">
        <is>
          <t>Reales de producto por realizar</t>
        </is>
      </c>
      <c r="C19" s="44">
        <f>SUM($D$5:$D$14)</f>
        <v/>
      </c>
      <c r="D19" s="44">
        <f>C19-SUM(E$5:E$14)</f>
        <v/>
      </c>
      <c r="E19" s="44">
        <f>D19-SUM(F$5:F$14)</f>
        <v/>
      </c>
      <c r="F19" s="44">
        <f>E19-SUM(G$5:G$14)</f>
        <v/>
      </c>
      <c r="G19" s="44">
        <f>F19-SUM(H$5:H$14)</f>
        <v/>
      </c>
      <c r="H19" s="44">
        <f>G19-SUM(I$5:I$14)</f>
        <v/>
      </c>
    </row>
    <row r="21" ht="15" customHeight="1" s="32">
      <c r="B21" s="45" t="inlineStr">
        <is>
          <t>Fuente: Documento Sprint Backlog General — Sprint 1 (descomposición de tareas y tabla burndown).</t>
        </is>
      </c>
    </row>
  </sheetData>
  <mergeCells count="5">
    <mergeCell ref="E3:I3"/>
    <mergeCell ref="C3:C4"/>
    <mergeCell ref="B3:B4"/>
    <mergeCell ref="D3:D4"/>
    <mergeCell ref="J3:J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J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86" customWidth="1" style="31" min="1" max="1"/>
    <col width="34" customWidth="1" style="31" min="2" max="2"/>
    <col width="62" customWidth="1" style="31" min="3" max="3"/>
    <col width="12" customWidth="1" style="31" min="4" max="4"/>
    <col width="5" customWidth="1" style="31" min="5" max="9"/>
    <col width="9" customWidth="1" style="31" min="10" max="10"/>
  </cols>
  <sheetData>
    <row r="1" ht="19.7" customHeight="1" s="32">
      <c r="B1" s="33" t="inlineStr">
        <is>
          <t>Control del Sprint</t>
        </is>
      </c>
      <c r="C1" s="34" t="inlineStr">
        <is>
          <t>Sprint 2</t>
        </is>
      </c>
    </row>
    <row r="3" ht="15" customHeight="1" s="32">
      <c r="B3" s="35" t="inlineStr">
        <is>
          <t>ID Historia</t>
        </is>
      </c>
      <c r="C3" s="35" t="inlineStr">
        <is>
          <t>Tarea</t>
        </is>
      </c>
      <c r="D3" s="35" t="inlineStr">
        <is>
          <t>Estimación en Horas</t>
        </is>
      </c>
      <c r="E3" s="36" t="inlineStr">
        <is>
          <t>Dias</t>
        </is>
      </c>
      <c r="F3" s="37" t="n"/>
      <c r="G3" s="37" t="n"/>
      <c r="H3" s="37" t="n"/>
      <c r="I3" s="38" t="n"/>
      <c r="J3" s="36" t="inlineStr">
        <is>
          <t>Total</t>
        </is>
      </c>
    </row>
    <row r="4" ht="18" customHeight="1" s="32">
      <c r="B4" s="39" t="n"/>
      <c r="C4" s="39" t="n"/>
      <c r="D4" s="39" t="n"/>
      <c r="E4" s="36" t="n">
        <v>1</v>
      </c>
      <c r="F4" s="36" t="n">
        <v>2</v>
      </c>
      <c r="G4" s="36" t="n">
        <v>3</v>
      </c>
      <c r="H4" s="36" t="n">
        <v>4</v>
      </c>
      <c r="I4" s="36" t="n">
        <v>5</v>
      </c>
      <c r="J4" s="39" t="n"/>
    </row>
    <row r="5" ht="15" customHeight="1" s="32">
      <c r="B5" s="36" t="inlineStr">
        <is>
          <t>DOC-03</t>
        </is>
      </c>
      <c r="C5" s="40" t="inlineStr">
        <is>
          <t>Documento de requerimientos del sistema — Felipe</t>
        </is>
      </c>
      <c r="D5" s="36" t="n">
        <v>2</v>
      </c>
      <c r="E5" s="36" t="n">
        <v>1</v>
      </c>
      <c r="F5" s="36" t="n">
        <v>1</v>
      </c>
      <c r="G5" s="36" t="n"/>
      <c r="H5" s="36" t="n"/>
      <c r="I5" s="36" t="n"/>
      <c r="J5" s="36">
        <f>SUM(E5:I5)</f>
        <v/>
      </c>
    </row>
    <row r="6" ht="15" customHeight="1" s="32">
      <c r="B6" s="36" t="inlineStr">
        <is>
          <t>DOC-04</t>
        </is>
      </c>
      <c r="C6" s="40" t="inlineStr">
        <is>
          <t>Reunión con Bomberos y levantamiento de necesidades — Marco</t>
        </is>
      </c>
      <c r="D6" s="36" t="n">
        <v>1</v>
      </c>
      <c r="E6" s="36" t="n">
        <v>1</v>
      </c>
      <c r="F6" s="36" t="n"/>
      <c r="G6" s="36" t="n"/>
      <c r="H6" s="36" t="n"/>
      <c r="I6" s="36" t="n"/>
      <c r="J6" s="36">
        <f>SUM(E6:I6)</f>
        <v/>
      </c>
    </row>
    <row r="7" ht="15" customHeight="1" s="32">
      <c r="B7" s="36" t="inlineStr">
        <is>
          <t>DOC-05</t>
        </is>
      </c>
      <c r="C7" s="40" t="inlineStr">
        <is>
          <t>Mockups de pantallas — Nicolás</t>
        </is>
      </c>
      <c r="D7" s="36" t="n">
        <v>3</v>
      </c>
      <c r="E7" s="36" t="n"/>
      <c r="F7" s="36" t="n">
        <v>1</v>
      </c>
      <c r="G7" s="36" t="n">
        <v>2</v>
      </c>
      <c r="H7" s="36" t="n"/>
      <c r="I7" s="36" t="n"/>
      <c r="J7" s="36">
        <f>SUM(E7:I7)</f>
        <v/>
      </c>
    </row>
    <row r="8" ht="15" customHeight="1" s="32">
      <c r="B8" s="36" t="inlineStr">
        <is>
          <t>US-04</t>
        </is>
      </c>
      <c r="C8" s="40" t="inlineStr">
        <is>
          <t>Análisis y diseño del cambio de estado con auditoría — Nicolás</t>
        </is>
      </c>
      <c r="D8" s="36" t="n">
        <v>1</v>
      </c>
      <c r="E8" s="36" t="n"/>
      <c r="F8" s="36" t="n"/>
      <c r="G8" s="36" t="n"/>
      <c r="H8" s="36" t="n">
        <v>1</v>
      </c>
      <c r="I8" s="36" t="n"/>
      <c r="J8" s="36">
        <f>SUM(E8:I8)</f>
        <v/>
      </c>
    </row>
    <row r="9" ht="15" customHeight="1" s="32">
      <c r="B9" s="36" t="inlineStr">
        <is>
          <t>US-04</t>
        </is>
      </c>
      <c r="C9" s="40" t="inlineStr">
        <is>
          <t>Codificación de estado y auditoría — Nicolás</t>
        </is>
      </c>
      <c r="D9" s="36" t="n">
        <v>1</v>
      </c>
      <c r="E9" s="36" t="n"/>
      <c r="F9" s="36" t="n"/>
      <c r="G9" s="36" t="n"/>
      <c r="H9" s="36" t="n">
        <v>1</v>
      </c>
      <c r="I9" s="36" t="n"/>
      <c r="J9" s="36">
        <f>SUM(E9:I9)</f>
        <v/>
      </c>
    </row>
    <row r="10" ht="15" customHeight="1" s="32">
      <c r="B10" s="36" t="inlineStr">
        <is>
          <t>US-04</t>
        </is>
      </c>
      <c r="C10" s="40" t="inlineStr">
        <is>
          <t>Pruebas de actualización de estado de grifo — Felipe</t>
        </is>
      </c>
      <c r="D10" s="36" t="n">
        <v>2</v>
      </c>
      <c r="E10" s="36" t="n"/>
      <c r="F10" s="36" t="n"/>
      <c r="G10" s="36" t="n"/>
      <c r="H10" s="36" t="n">
        <v>1</v>
      </c>
      <c r="I10" s="36" t="n">
        <v>1</v>
      </c>
      <c r="J10" s="36">
        <f>SUM(E10:I10)</f>
        <v/>
      </c>
    </row>
    <row r="11" ht="15" customHeight="1" s="32">
      <c r="J11" s="41">
        <f>SUM(J5:J10)</f>
        <v/>
      </c>
    </row>
    <row r="13" ht="15" customHeight="1" s="32">
      <c r="B13" s="42" t="inlineStr">
        <is>
          <t>Días</t>
        </is>
      </c>
      <c r="C13" s="36" t="n">
        <v>0</v>
      </c>
      <c r="D13" s="36" t="n">
        <v>1</v>
      </c>
      <c r="E13" s="36" t="n">
        <v>2</v>
      </c>
      <c r="F13" s="36" t="n">
        <v>3</v>
      </c>
      <c r="G13" s="36" t="n">
        <v>4</v>
      </c>
      <c r="H13" s="36" t="n">
        <v>5</v>
      </c>
    </row>
    <row r="14" ht="15" customHeight="1" s="32">
      <c r="B14" s="42" t="inlineStr">
        <is>
          <t>Estimadas de producto por realizar</t>
        </is>
      </c>
      <c r="C14" s="43">
        <f>SUM($D$5:$D$10)</f>
        <v/>
      </c>
      <c r="D14" s="43">
        <f>ROUND(C14-SUM($D$5:$D$10)/MAX($E$4:$I$4),1)</f>
        <v/>
      </c>
      <c r="E14" s="43">
        <f>ROUND(D14-SUM($D$5:$D$10)/MAX($E$4:$I$4),1)</f>
        <v/>
      </c>
      <c r="F14" s="43">
        <f>ROUND(E14-SUM($D$5:$D$10)/MAX($E$4:$I$4),1)</f>
        <v/>
      </c>
      <c r="G14" s="43">
        <f>ROUND(F14-SUM($D$5:$D$10)/MAX($E$4:$I$4),1)</f>
        <v/>
      </c>
      <c r="H14" s="43">
        <f>ROUND(G14-SUM($D$5:$D$10)/MAX($E$4:$I$4),1)</f>
        <v/>
      </c>
    </row>
    <row r="15" ht="15" customHeight="1" s="32">
      <c r="B15" s="42" t="inlineStr">
        <is>
          <t>Reales de producto por realizar</t>
        </is>
      </c>
      <c r="C15" s="44">
        <f>SUM($D$5:$D$10)</f>
        <v/>
      </c>
      <c r="D15" s="44">
        <f>C15-SUM(E$5:E$10)</f>
        <v/>
      </c>
      <c r="E15" s="44">
        <f>D15-SUM(F$5:F$10)</f>
        <v/>
      </c>
      <c r="F15" s="44">
        <f>E15-SUM(G$5:G$10)</f>
        <v/>
      </c>
      <c r="G15" s="44">
        <f>F15-SUM(H$5:H$10)</f>
        <v/>
      </c>
      <c r="H15" s="44">
        <f>G15-SUM(I$5:I$10)</f>
        <v/>
      </c>
    </row>
    <row r="17" ht="15" customHeight="1" s="32">
      <c r="B17" s="45" t="inlineStr">
        <is>
          <t>Fuente: Documento Sprint Backlog General — Sprint 2 (descomposición de tareas y tabla burndown).</t>
        </is>
      </c>
    </row>
  </sheetData>
  <mergeCells count="5">
    <mergeCell ref="E3:I3"/>
    <mergeCell ref="C3:C4"/>
    <mergeCell ref="B3:B4"/>
    <mergeCell ref="D3:D4"/>
    <mergeCell ref="J3:J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J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86" customWidth="1" style="31" min="1" max="1"/>
    <col width="34" customWidth="1" style="31" min="2" max="2"/>
    <col width="62" customWidth="1" style="31" min="3" max="3"/>
    <col width="12" customWidth="1" style="31" min="4" max="4"/>
    <col width="5" customWidth="1" style="31" min="5" max="9"/>
    <col width="9" customWidth="1" style="31" min="10" max="10"/>
  </cols>
  <sheetData>
    <row r="1" ht="19.7" customHeight="1" s="32">
      <c r="B1" s="33" t="inlineStr">
        <is>
          <t>Control del Sprint</t>
        </is>
      </c>
      <c r="C1" s="34" t="inlineStr">
        <is>
          <t>Sprint 3</t>
        </is>
      </c>
    </row>
    <row r="3" ht="15" customHeight="1" s="32">
      <c r="B3" s="35" t="inlineStr">
        <is>
          <t>ID Historia</t>
        </is>
      </c>
      <c r="C3" s="35" t="inlineStr">
        <is>
          <t>Tarea</t>
        </is>
      </c>
      <c r="D3" s="35" t="inlineStr">
        <is>
          <t>Estimación en Horas</t>
        </is>
      </c>
      <c r="E3" s="36" t="inlineStr">
        <is>
          <t>Dias</t>
        </is>
      </c>
      <c r="F3" s="37" t="n"/>
      <c r="G3" s="37" t="n"/>
      <c r="H3" s="37" t="n"/>
      <c r="I3" s="38" t="n"/>
      <c r="J3" s="36" t="inlineStr">
        <is>
          <t>Total</t>
        </is>
      </c>
    </row>
    <row r="4" ht="18" customHeight="1" s="32">
      <c r="B4" s="39" t="n"/>
      <c r="C4" s="39" t="n"/>
      <c r="D4" s="39" t="n"/>
      <c r="E4" s="36" t="n">
        <v>1</v>
      </c>
      <c r="F4" s="36" t="n">
        <v>2</v>
      </c>
      <c r="G4" s="36" t="n">
        <v>3</v>
      </c>
      <c r="H4" s="36" t="n">
        <v>4</v>
      </c>
      <c r="I4" s="36" t="n">
        <v>5</v>
      </c>
      <c r="J4" s="39" t="n"/>
    </row>
    <row r="5" ht="15" customHeight="1" s="32">
      <c r="B5" s="36" t="inlineStr">
        <is>
          <t>DOC-06</t>
        </is>
      </c>
      <c r="C5" s="40" t="inlineStr">
        <is>
          <t>DAS (Documento de Arquitectura de Software) — Felipe</t>
        </is>
      </c>
      <c r="D5" s="36" t="n">
        <v>3</v>
      </c>
      <c r="E5" s="36" t="n">
        <v>3</v>
      </c>
      <c r="F5" s="36" t="n"/>
      <c r="G5" s="36" t="n"/>
      <c r="H5" s="36" t="n"/>
      <c r="I5" s="36" t="n"/>
      <c r="J5" s="36">
        <f>SUM(E5:I5)</f>
        <v/>
      </c>
    </row>
    <row r="6" ht="15" customHeight="1" s="32">
      <c r="B6" s="36" t="inlineStr">
        <is>
          <t>ENT-02</t>
        </is>
      </c>
      <c r="C6" s="40" t="inlineStr">
        <is>
          <t>Configuración de Supabase — Marco</t>
        </is>
      </c>
      <c r="D6" s="36" t="n">
        <v>3</v>
      </c>
      <c r="E6" s="36" t="n"/>
      <c r="F6" s="36" t="n">
        <v>3</v>
      </c>
      <c r="G6" s="36" t="n"/>
      <c r="H6" s="36" t="n"/>
      <c r="I6" s="36" t="n"/>
      <c r="J6" s="36">
        <f>SUM(E6:I6)</f>
        <v/>
      </c>
    </row>
    <row r="7" ht="15" customHeight="1" s="32">
      <c r="B7" s="36" t="inlineStr">
        <is>
          <t>TC-01</t>
        </is>
      </c>
      <c r="C7" s="40" t="inlineStr">
        <is>
          <t>Diseño de roles y permisos RBAC — Nicolás</t>
        </is>
      </c>
      <c r="D7" s="36" t="n">
        <v>2</v>
      </c>
      <c r="E7" s="36" t="n"/>
      <c r="F7" s="36" t="n"/>
      <c r="G7" s="36" t="n">
        <v>2</v>
      </c>
      <c r="H7" s="36" t="n"/>
      <c r="I7" s="36" t="n"/>
      <c r="J7" s="36">
        <f>SUM(E7:I7)</f>
        <v/>
      </c>
    </row>
    <row r="8" ht="15" customHeight="1" s="32">
      <c r="B8" s="36" t="inlineStr">
        <is>
          <t>TC-01</t>
        </is>
      </c>
      <c r="C8" s="40" t="inlineStr">
        <is>
          <t>Codificación de login — Nicolás</t>
        </is>
      </c>
      <c r="D8" s="36" t="n">
        <v>3</v>
      </c>
      <c r="E8" s="36" t="n"/>
      <c r="F8" s="36" t="n"/>
      <c r="G8" s="36" t="n"/>
      <c r="H8" s="36" t="n">
        <v>3</v>
      </c>
      <c r="I8" s="36" t="n"/>
      <c r="J8" s="36">
        <f>SUM(E8:I8)</f>
        <v/>
      </c>
    </row>
    <row r="9" ht="15" customHeight="1" s="32">
      <c r="B9" s="36" t="inlineStr">
        <is>
          <t>TC-01</t>
        </is>
      </c>
      <c r="C9" s="40" t="inlineStr">
        <is>
          <t>Codificación de control de acceso por rol — Marco</t>
        </is>
      </c>
      <c r="D9" s="36" t="n">
        <v>1</v>
      </c>
      <c r="E9" s="36" t="n"/>
      <c r="F9" s="36" t="n"/>
      <c r="G9" s="36" t="n">
        <v>1</v>
      </c>
      <c r="H9" s="36" t="n"/>
      <c r="I9" s="36" t="n"/>
      <c r="J9" s="36">
        <f>SUM(E9:I9)</f>
        <v/>
      </c>
    </row>
    <row r="10" ht="15" customHeight="1" s="32">
      <c r="B10" s="36" t="inlineStr">
        <is>
          <t>TC-01</t>
        </is>
      </c>
      <c r="C10" s="40" t="inlineStr">
        <is>
          <t>Pruebas de autenticación y permisos — Felipe</t>
        </is>
      </c>
      <c r="D10" s="36" t="n">
        <v>2</v>
      </c>
      <c r="E10" s="36" t="n"/>
      <c r="F10" s="36" t="n"/>
      <c r="G10" s="36" t="n"/>
      <c r="H10" s="36" t="n"/>
      <c r="I10" s="36" t="n">
        <v>2</v>
      </c>
      <c r="J10" s="36">
        <f>SUM(E10:I10)</f>
        <v/>
      </c>
    </row>
    <row r="11" ht="15" customHeight="1" s="32">
      <c r="J11" s="41">
        <f>SUM(J5:J10)</f>
        <v/>
      </c>
    </row>
    <row r="13" ht="15" customHeight="1" s="32">
      <c r="B13" s="42" t="inlineStr">
        <is>
          <t>Días</t>
        </is>
      </c>
      <c r="C13" s="36" t="n">
        <v>0</v>
      </c>
      <c r="D13" s="36" t="n">
        <v>1</v>
      </c>
      <c r="E13" s="36" t="n">
        <v>2</v>
      </c>
      <c r="F13" s="36" t="n">
        <v>3</v>
      </c>
      <c r="G13" s="36" t="n">
        <v>4</v>
      </c>
      <c r="H13" s="36" t="n">
        <v>5</v>
      </c>
    </row>
    <row r="14" ht="15" customHeight="1" s="32">
      <c r="B14" s="42" t="inlineStr">
        <is>
          <t>Estimadas de producto por realizar</t>
        </is>
      </c>
      <c r="C14" s="43">
        <f>SUM($D$5:$D$10)</f>
        <v/>
      </c>
      <c r="D14" s="43">
        <f>ROUND(C14-SUM($D$5:$D$10)/MAX($E$4:$I$4),1)</f>
        <v/>
      </c>
      <c r="E14" s="43">
        <f>ROUND(D14-SUM($D$5:$D$10)/MAX($E$4:$I$4),1)</f>
        <v/>
      </c>
      <c r="F14" s="43">
        <f>ROUND(E14-SUM($D$5:$D$10)/MAX($E$4:$I$4),1)</f>
        <v/>
      </c>
      <c r="G14" s="43">
        <f>ROUND(F14-SUM($D$5:$D$10)/MAX($E$4:$I$4),1)</f>
        <v/>
      </c>
      <c r="H14" s="43">
        <f>ROUND(G14-SUM($D$5:$D$10)/MAX($E$4:$I$4),1)</f>
        <v/>
      </c>
    </row>
    <row r="15" ht="15" customHeight="1" s="32">
      <c r="B15" s="42" t="inlineStr">
        <is>
          <t>Reales de producto por realizar</t>
        </is>
      </c>
      <c r="C15" s="44">
        <f>SUM($D$5:$D$10)</f>
        <v/>
      </c>
      <c r="D15" s="44">
        <f>C15-SUM(E$5:E$10)</f>
        <v/>
      </c>
      <c r="E15" s="44">
        <f>D15-SUM(F$5:F$10)</f>
        <v/>
      </c>
      <c r="F15" s="44">
        <f>E15-SUM(G$5:G$10)</f>
        <v/>
      </c>
      <c r="G15" s="44">
        <f>F15-SUM(H$5:H$10)</f>
        <v/>
      </c>
      <c r="H15" s="44">
        <f>G15-SUM(I$5:I$10)</f>
        <v/>
      </c>
    </row>
    <row r="17" ht="15" customHeight="1" s="32">
      <c r="B17" s="45" t="inlineStr">
        <is>
          <t>Fuente: Documento Sprint Backlog General — Sprint 3 (descomposición de tareas y tabla burndown).</t>
        </is>
      </c>
    </row>
  </sheetData>
  <mergeCells count="5">
    <mergeCell ref="E3:I3"/>
    <mergeCell ref="C3:C4"/>
    <mergeCell ref="B3:B4"/>
    <mergeCell ref="D3:D4"/>
    <mergeCell ref="J3:J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J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86" customWidth="1" style="31" min="1" max="1"/>
    <col width="34" customWidth="1" style="31" min="2" max="2"/>
    <col width="62" customWidth="1" style="31" min="3" max="3"/>
    <col width="12" customWidth="1" style="31" min="4" max="4"/>
    <col width="5" customWidth="1" style="31" min="5" max="9"/>
    <col width="9" customWidth="1" style="31" min="10" max="10"/>
  </cols>
  <sheetData>
    <row r="1" ht="19.7" customHeight="1" s="32">
      <c r="B1" s="33" t="inlineStr">
        <is>
          <t>Control del Sprint</t>
        </is>
      </c>
      <c r="C1" s="34" t="inlineStr">
        <is>
          <t>Sprint 4</t>
        </is>
      </c>
    </row>
    <row r="3" ht="15" customHeight="1" s="32">
      <c r="B3" s="35" t="inlineStr">
        <is>
          <t>ID Historia</t>
        </is>
      </c>
      <c r="C3" s="35" t="inlineStr">
        <is>
          <t>Tarea</t>
        </is>
      </c>
      <c r="D3" s="35" t="inlineStr">
        <is>
          <t>Estimación en Horas</t>
        </is>
      </c>
      <c r="E3" s="36" t="inlineStr">
        <is>
          <t>Dias</t>
        </is>
      </c>
      <c r="F3" s="37" t="n"/>
      <c r="G3" s="37" t="n"/>
      <c r="H3" s="37" t="n"/>
      <c r="I3" s="38" t="n"/>
      <c r="J3" s="36" t="inlineStr">
        <is>
          <t>Total</t>
        </is>
      </c>
    </row>
    <row r="4" ht="18" customHeight="1" s="32">
      <c r="B4" s="39" t="n"/>
      <c r="C4" s="39" t="n"/>
      <c r="D4" s="39" t="n"/>
      <c r="E4" s="36" t="n">
        <v>1</v>
      </c>
      <c r="F4" s="36" t="n">
        <v>2</v>
      </c>
      <c r="G4" s="36" t="n">
        <v>3</v>
      </c>
      <c r="H4" s="36" t="n">
        <v>4</v>
      </c>
      <c r="I4" s="36" t="n">
        <v>5</v>
      </c>
      <c r="J4" s="39" t="n"/>
    </row>
    <row r="5" ht="15" customHeight="1" s="32">
      <c r="B5" s="36" t="inlineStr">
        <is>
          <t>DOC-07</t>
        </is>
      </c>
      <c r="C5" s="40" t="inlineStr">
        <is>
          <t>Diseño de formularios digitales de terreno — Nicolás</t>
        </is>
      </c>
      <c r="D5" s="36" t="n">
        <v>4</v>
      </c>
      <c r="E5" s="36" t="n">
        <v>2</v>
      </c>
      <c r="F5" s="36" t="n">
        <v>2</v>
      </c>
      <c r="G5" s="36" t="n"/>
      <c r="H5" s="36" t="n"/>
      <c r="I5" s="36" t="n"/>
      <c r="J5" s="36">
        <f>SUM(E5:I5)</f>
        <v/>
      </c>
    </row>
    <row r="6" ht="15" customHeight="1" s="32">
      <c r="B6" s="36" t="inlineStr">
        <is>
          <t>US-12</t>
        </is>
      </c>
      <c r="C6" s="40" t="inlineStr">
        <is>
          <t>Análisis y diseño de formularios de boletas de gastos — Felipe</t>
        </is>
      </c>
      <c r="D6" s="36" t="n">
        <v>3</v>
      </c>
      <c r="E6" s="36" t="n"/>
      <c r="F6" s="36" t="n"/>
      <c r="G6" s="36" t="n">
        <v>2</v>
      </c>
      <c r="H6" s="36" t="n">
        <v>1</v>
      </c>
      <c r="I6" s="36" t="n"/>
      <c r="J6" s="36">
        <f>SUM(E6:I6)</f>
        <v/>
      </c>
    </row>
    <row r="7" ht="15" customHeight="1" s="32">
      <c r="B7" s="36" t="inlineStr">
        <is>
          <t>US-12</t>
        </is>
      </c>
      <c r="C7" s="40" t="inlineStr">
        <is>
          <t>Estructuración de categorías financieras y boletas — Marco</t>
        </is>
      </c>
      <c r="D7" s="36" t="n">
        <v>3</v>
      </c>
      <c r="E7" s="36" t="n"/>
      <c r="F7" s="36" t="n"/>
      <c r="G7" s="36" t="n"/>
      <c r="H7" s="36" t="n"/>
      <c r="I7" s="36" t="n">
        <v>3</v>
      </c>
      <c r="J7" s="36">
        <f>SUM(E7:I7)</f>
        <v/>
      </c>
    </row>
    <row r="8" ht="15" customHeight="1" s="32">
      <c r="J8" s="41">
        <f>SUM(J5:J7)</f>
        <v/>
      </c>
    </row>
    <row r="10" ht="15" customHeight="1" s="32">
      <c r="B10" s="42" t="inlineStr">
        <is>
          <t>Días</t>
        </is>
      </c>
      <c r="C10" s="36" t="n">
        <v>0</v>
      </c>
      <c r="D10" s="36" t="n">
        <v>1</v>
      </c>
      <c r="E10" s="36" t="n">
        <v>2</v>
      </c>
      <c r="F10" s="36" t="n">
        <v>3</v>
      </c>
      <c r="G10" s="36" t="n">
        <v>4</v>
      </c>
      <c r="H10" s="36" t="n">
        <v>5</v>
      </c>
    </row>
    <row r="11" ht="15" customHeight="1" s="32">
      <c r="B11" s="42" t="inlineStr">
        <is>
          <t>Estimadas de producto por realizar</t>
        </is>
      </c>
      <c r="C11" s="43">
        <f>SUM($D$5:$D$7)</f>
        <v/>
      </c>
      <c r="D11" s="43">
        <f>ROUND(C11-SUM($D$5:$D$7)/MAX($E$4:$I$4),1)</f>
        <v/>
      </c>
      <c r="E11" s="43">
        <f>ROUND(D11-SUM($D$5:$D$7)/MAX($E$4:$I$4),1)</f>
        <v/>
      </c>
      <c r="F11" s="43">
        <f>ROUND(E11-SUM($D$5:$D$7)/MAX($E$4:$I$4),1)</f>
        <v/>
      </c>
      <c r="G11" s="43">
        <f>ROUND(F11-SUM($D$5:$D$7)/MAX($E$4:$I$4),1)</f>
        <v/>
      </c>
      <c r="H11" s="43">
        <f>ROUND(G11-SUM($D$5:$D$7)/MAX($E$4:$I$4),1)</f>
        <v/>
      </c>
    </row>
    <row r="12" ht="15" customHeight="1" s="32">
      <c r="B12" s="42" t="inlineStr">
        <is>
          <t>Reales de producto por realizar</t>
        </is>
      </c>
      <c r="C12" s="44">
        <f>SUM($D$5:$D$7)</f>
        <v/>
      </c>
      <c r="D12" s="44">
        <f>C12-SUM(E$5:E$7)</f>
        <v/>
      </c>
      <c r="E12" s="44">
        <f>D12-SUM(F$5:F$7)</f>
        <v/>
      </c>
      <c r="F12" s="44">
        <f>E12-SUM(G$5:G$7)</f>
        <v/>
      </c>
      <c r="G12" s="44">
        <f>F12-SUM(H$5:H$7)</f>
        <v/>
      </c>
      <c r="H12" s="44">
        <f>G12-SUM(I$5:I$7)</f>
        <v/>
      </c>
    </row>
    <row r="14" ht="15" customHeight="1" s="32">
      <c r="B14" s="45" t="inlineStr">
        <is>
          <t>Fuente: Documento Sprint Backlog General — Sprint 4 (descomposición de tareas y tabla burndown).</t>
        </is>
      </c>
    </row>
  </sheetData>
  <mergeCells count="5">
    <mergeCell ref="E3:I3"/>
    <mergeCell ref="C3:C4"/>
    <mergeCell ref="B3:B4"/>
    <mergeCell ref="D3:D4"/>
    <mergeCell ref="J3:J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J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86" customWidth="1" style="31" min="1" max="1"/>
    <col width="34" customWidth="1" style="31" min="2" max="2"/>
    <col width="62" customWidth="1" style="31" min="3" max="3"/>
    <col width="12" customWidth="1" style="31" min="4" max="4"/>
    <col width="5" customWidth="1" style="31" min="5" max="9"/>
    <col width="9" customWidth="1" style="31" min="10" max="10"/>
  </cols>
  <sheetData>
    <row r="1" ht="19.7" customHeight="1" s="32">
      <c r="B1" s="33" t="inlineStr">
        <is>
          <t>Control del Sprint</t>
        </is>
      </c>
      <c r="C1" s="34" t="inlineStr">
        <is>
          <t>Sprint 5</t>
        </is>
      </c>
    </row>
    <row r="3" ht="15" customHeight="1" s="32">
      <c r="B3" s="35" t="inlineStr">
        <is>
          <t>ID Historia</t>
        </is>
      </c>
      <c r="C3" s="35" t="inlineStr">
        <is>
          <t>Tarea</t>
        </is>
      </c>
      <c r="D3" s="35" t="inlineStr">
        <is>
          <t>Estimación en Horas</t>
        </is>
      </c>
      <c r="E3" s="36" t="inlineStr">
        <is>
          <t>Dias</t>
        </is>
      </c>
      <c r="F3" s="37" t="n"/>
      <c r="G3" s="37" t="n"/>
      <c r="H3" s="37" t="n"/>
      <c r="I3" s="38" t="n"/>
      <c r="J3" s="36" t="inlineStr">
        <is>
          <t>Total</t>
        </is>
      </c>
    </row>
    <row r="4" ht="18" customHeight="1" s="32">
      <c r="B4" s="39" t="n"/>
      <c r="C4" s="39" t="n"/>
      <c r="D4" s="39" t="n"/>
      <c r="E4" s="36" t="n">
        <v>1</v>
      </c>
      <c r="F4" s="36" t="n">
        <v>2</v>
      </c>
      <c r="G4" s="36" t="n">
        <v>3</v>
      </c>
      <c r="H4" s="36" t="n">
        <v>4</v>
      </c>
      <c r="I4" s="36" t="n">
        <v>5</v>
      </c>
      <c r="J4" s="39" t="n"/>
    </row>
    <row r="5" ht="15" customHeight="1" s="32">
      <c r="B5" s="36" t="inlineStr">
        <is>
          <t>DOC-08</t>
        </is>
      </c>
      <c r="C5" s="40" t="inlineStr">
        <is>
          <t>Elaboración de la Estructura de Desglose del Trabajo (EDT) — Felipe</t>
        </is>
      </c>
      <c r="D5" s="36" t="n">
        <v>1</v>
      </c>
      <c r="E5" s="36" t="n">
        <v>1</v>
      </c>
      <c r="F5" s="36" t="n"/>
      <c r="G5" s="36" t="n"/>
      <c r="H5" s="36" t="n"/>
      <c r="I5" s="36" t="n"/>
      <c r="J5" s="36">
        <f>SUM(E5:I5)</f>
        <v/>
      </c>
    </row>
    <row r="6" ht="15" customHeight="1" s="32">
      <c r="B6" s="36" t="inlineStr">
        <is>
          <t>DOC-09</t>
        </is>
      </c>
      <c r="C6" s="40" t="inlineStr">
        <is>
          <t>Verificación de artefactos Scrum — Felipe</t>
        </is>
      </c>
      <c r="D6" s="36" t="n">
        <v>1</v>
      </c>
      <c r="E6" s="36" t="n">
        <v>1</v>
      </c>
      <c r="F6" s="36" t="n"/>
      <c r="G6" s="36" t="n"/>
      <c r="H6" s="36" t="n"/>
      <c r="I6" s="36" t="n"/>
      <c r="J6" s="36">
        <f>SUM(E6:I6)</f>
        <v/>
      </c>
    </row>
    <row r="7" ht="15" customHeight="1" s="32">
      <c r="B7" s="36" t="inlineStr">
        <is>
          <t>US-10</t>
        </is>
      </c>
      <c r="C7" s="40" t="inlineStr">
        <is>
          <t>Análisis, diseño y codificación de actas y buscador — Nicolás</t>
        </is>
      </c>
      <c r="D7" s="36" t="n">
        <v>3</v>
      </c>
      <c r="E7" s="36" t="n"/>
      <c r="F7" s="36" t="n">
        <v>2</v>
      </c>
      <c r="G7" s="36" t="n">
        <v>1</v>
      </c>
      <c r="H7" s="36" t="n"/>
      <c r="I7" s="36" t="n"/>
      <c r="J7" s="36">
        <f>SUM(E7:I7)</f>
        <v/>
      </c>
    </row>
    <row r="8" ht="15" customHeight="1" s="32">
      <c r="B8" s="36" t="inlineStr">
        <is>
          <t>US-11</t>
        </is>
      </c>
      <c r="C8" s="40" t="inlineStr">
        <is>
          <t>Registro de acuerdos de directorio — Marco</t>
        </is>
      </c>
      <c r="D8" s="36" t="n">
        <v>1</v>
      </c>
      <c r="E8" s="36" t="n"/>
      <c r="F8" s="36" t="n"/>
      <c r="G8" s="36" t="n">
        <v>1</v>
      </c>
      <c r="H8" s="36" t="n"/>
      <c r="I8" s="36" t="n"/>
      <c r="J8" s="36">
        <f>SUM(E8:I8)</f>
        <v/>
      </c>
    </row>
    <row r="9" ht="15" customHeight="1" s="32">
      <c r="B9" s="36" t="inlineStr">
        <is>
          <t>US-13</t>
        </is>
      </c>
      <c r="C9" s="40" t="inlineStr">
        <is>
          <t>Resumen financiero en tiempo real — Felipe</t>
        </is>
      </c>
      <c r="D9" s="36" t="n">
        <v>1</v>
      </c>
      <c r="E9" s="36" t="n"/>
      <c r="F9" s="36" t="n"/>
      <c r="G9" s="36" t="n"/>
      <c r="H9" s="36" t="n">
        <v>1</v>
      </c>
      <c r="I9" s="36" t="n"/>
      <c r="J9" s="36">
        <f>SUM(E9:I9)</f>
        <v/>
      </c>
    </row>
    <row r="10" ht="15" customHeight="1" s="32">
      <c r="B10" s="36" t="inlineStr">
        <is>
          <t>US-13</t>
        </is>
      </c>
      <c r="C10" s="40" t="inlineStr">
        <is>
          <t>Validación de cálculos de presupuesto disponible — Marco</t>
        </is>
      </c>
      <c r="D10" s="36" t="n">
        <v>1</v>
      </c>
      <c r="E10" s="36" t="n"/>
      <c r="F10" s="36" t="n"/>
      <c r="G10" s="36" t="n"/>
      <c r="H10" s="36" t="n"/>
      <c r="I10" s="36" t="n">
        <v>1</v>
      </c>
      <c r="J10" s="36">
        <f>SUM(E10:I10)</f>
        <v/>
      </c>
    </row>
    <row r="11" ht="15" customHeight="1" s="32">
      <c r="B11" s="36" t="inlineStr">
        <is>
          <t>TC-03</t>
        </is>
      </c>
      <c r="C11" s="40" t="inlineStr">
        <is>
          <t>Prototipo de formularios digitales para terreno — Nicolás</t>
        </is>
      </c>
      <c r="D11" s="36" t="n">
        <v>2</v>
      </c>
      <c r="E11" s="36" t="n"/>
      <c r="F11" s="36" t="n"/>
      <c r="G11" s="36" t="n">
        <v>1</v>
      </c>
      <c r="H11" s="36" t="n">
        <v>1</v>
      </c>
      <c r="I11" s="36" t="n"/>
      <c r="J11" s="36">
        <f>SUM(E11:I11)</f>
        <v/>
      </c>
    </row>
    <row r="12" ht="15" customHeight="1" s="32">
      <c r="J12" s="41">
        <f>SUM(J5:J11)</f>
        <v/>
      </c>
    </row>
    <row r="14" ht="15" customHeight="1" s="32">
      <c r="B14" s="42" t="inlineStr">
        <is>
          <t>Días</t>
        </is>
      </c>
      <c r="C14" s="36" t="n">
        <v>0</v>
      </c>
      <c r="D14" s="36" t="n">
        <v>1</v>
      </c>
      <c r="E14" s="36" t="n">
        <v>2</v>
      </c>
      <c r="F14" s="36" t="n">
        <v>3</v>
      </c>
      <c r="G14" s="36" t="n">
        <v>4</v>
      </c>
      <c r="H14" s="36" t="n">
        <v>5</v>
      </c>
    </row>
    <row r="15" ht="15" customHeight="1" s="32">
      <c r="B15" s="42" t="inlineStr">
        <is>
          <t>Estimadas de producto por realizar</t>
        </is>
      </c>
      <c r="C15" s="43">
        <f>SUM($D$5:$D$11)</f>
        <v/>
      </c>
      <c r="D15" s="43">
        <f>ROUND(C15-SUM($D$5:$D$11)/MAX($E$4:$I$4),1)</f>
        <v/>
      </c>
      <c r="E15" s="43">
        <f>ROUND(D15-SUM($D$5:$D$11)/MAX($E$4:$I$4),1)</f>
        <v/>
      </c>
      <c r="F15" s="43">
        <f>ROUND(E15-SUM($D$5:$D$11)/MAX($E$4:$I$4),1)</f>
        <v/>
      </c>
      <c r="G15" s="43">
        <f>ROUND(F15-SUM($D$5:$D$11)/MAX($E$4:$I$4),1)</f>
        <v/>
      </c>
      <c r="H15" s="43">
        <f>ROUND(G15-SUM($D$5:$D$11)/MAX($E$4:$I$4),1)</f>
        <v/>
      </c>
    </row>
    <row r="16" ht="15" customHeight="1" s="32">
      <c r="B16" s="42" t="inlineStr">
        <is>
          <t>Reales de producto por realizar</t>
        </is>
      </c>
      <c r="C16" s="44">
        <f>SUM($D$5:$D$11)</f>
        <v/>
      </c>
      <c r="D16" s="44">
        <f>C16-SUM(E$5:E$11)</f>
        <v/>
      </c>
      <c r="E16" s="44">
        <f>D16-SUM(F$5:F$11)</f>
        <v/>
      </c>
      <c r="F16" s="44">
        <f>E16-SUM(G$5:G$11)</f>
        <v/>
      </c>
      <c r="G16" s="44">
        <f>F16-SUM(H$5:H$11)</f>
        <v/>
      </c>
      <c r="H16" s="44">
        <f>G16-SUM(I$5:I$11)</f>
        <v/>
      </c>
    </row>
    <row r="18" ht="15" customHeight="1" s="32">
      <c r="B18" s="45" t="inlineStr">
        <is>
          <t>Fuente: Documento Sprint Backlog General — Sprint 5 (descomposición de tareas y tabla burndown).</t>
        </is>
      </c>
    </row>
  </sheetData>
  <mergeCells count="5">
    <mergeCell ref="E3:I3"/>
    <mergeCell ref="C3:C4"/>
    <mergeCell ref="B3:B4"/>
    <mergeCell ref="D3:D4"/>
    <mergeCell ref="J3:J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J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.86" customWidth="1" style="31" min="1" max="1"/>
    <col width="34" customWidth="1" style="31" min="2" max="2"/>
    <col width="62" customWidth="1" style="31" min="3" max="3"/>
    <col width="12" customWidth="1" style="31" min="4" max="4"/>
    <col width="5" customWidth="1" style="31" min="5" max="9"/>
    <col width="9" customWidth="1" style="31" min="10" max="10"/>
  </cols>
  <sheetData>
    <row r="1" ht="19.7" customHeight="1" s="32">
      <c r="B1" s="33" t="inlineStr">
        <is>
          <t>Control del Sprint</t>
        </is>
      </c>
      <c r="C1" s="34" t="inlineStr">
        <is>
          <t>Sprint 6</t>
        </is>
      </c>
    </row>
    <row r="3" ht="15" customHeight="1" s="32">
      <c r="B3" s="35" t="inlineStr">
        <is>
          <t>ID Historia</t>
        </is>
      </c>
      <c r="C3" s="35" t="inlineStr">
        <is>
          <t>Tarea</t>
        </is>
      </c>
      <c r="D3" s="35" t="inlineStr">
        <is>
          <t>Estimación en Horas</t>
        </is>
      </c>
      <c r="E3" s="36" t="inlineStr">
        <is>
          <t>Dias</t>
        </is>
      </c>
      <c r="F3" s="37" t="n"/>
      <c r="G3" s="37" t="n"/>
      <c r="H3" s="37" t="n"/>
      <c r="I3" s="38" t="n"/>
      <c r="J3" s="36" t="inlineStr">
        <is>
          <t>Total</t>
        </is>
      </c>
    </row>
    <row r="4" ht="18" customHeight="1" s="32">
      <c r="B4" s="39" t="n"/>
      <c r="C4" s="39" t="n"/>
      <c r="D4" s="39" t="n"/>
      <c r="E4" s="36" t="n">
        <v>1</v>
      </c>
      <c r="F4" s="36" t="n">
        <v>2</v>
      </c>
      <c r="G4" s="36" t="n">
        <v>3</v>
      </c>
      <c r="H4" s="36" t="n">
        <v>4</v>
      </c>
      <c r="I4" s="36" t="n">
        <v>5</v>
      </c>
      <c r="J4" s="39" t="n"/>
    </row>
    <row r="5" ht="15" customHeight="1" s="32">
      <c r="B5" s="36" t="inlineStr">
        <is>
          <t>US-14</t>
        </is>
      </c>
      <c r="C5" s="40" t="inlineStr">
        <is>
          <t>Análisis y diseño visual del inventario por carro — Marco</t>
        </is>
      </c>
      <c r="D5" s="36" t="n">
        <v>2</v>
      </c>
      <c r="E5" s="36" t="n">
        <v>2</v>
      </c>
      <c r="F5" s="36" t="n"/>
      <c r="G5" s="36" t="n"/>
      <c r="H5" s="36" t="n"/>
      <c r="I5" s="36" t="n"/>
      <c r="J5" s="36">
        <f>SUM(E5:I5)</f>
        <v/>
      </c>
    </row>
    <row r="6" ht="28.35" customHeight="1" s="32">
      <c r="B6" s="36" t="inlineStr">
        <is>
          <t>US-14</t>
        </is>
      </c>
      <c r="C6" s="40" t="inlineStr">
        <is>
          <t>Codificación de interfaz y consultas de carros (herramientas, mangueras, EPP) — Marco</t>
        </is>
      </c>
      <c r="D6" s="36" t="n">
        <v>4</v>
      </c>
      <c r="E6" s="36" t="n"/>
      <c r="F6" s="36" t="n">
        <v>2</v>
      </c>
      <c r="G6" s="36" t="n">
        <v>2</v>
      </c>
      <c r="H6" s="36" t="n"/>
      <c r="I6" s="36" t="n"/>
      <c r="J6" s="36">
        <f>SUM(E6:I6)</f>
        <v/>
      </c>
    </row>
    <row r="7" ht="15" customHeight="1" s="32">
      <c r="B7" s="36" t="inlineStr">
        <is>
          <t>DOC-10</t>
        </is>
      </c>
      <c r="C7" s="40" t="inlineStr">
        <is>
          <t>Cierre y consolidación de documentación Scrum pasada — Felipe</t>
        </is>
      </c>
      <c r="D7" s="36" t="n">
        <v>2</v>
      </c>
      <c r="E7" s="36" t="n"/>
      <c r="F7" s="36" t="n"/>
      <c r="G7" s="36" t="n">
        <v>1</v>
      </c>
      <c r="H7" s="36" t="n"/>
      <c r="I7" s="36" t="n">
        <v>1</v>
      </c>
      <c r="J7" s="36">
        <f>SUM(E7:I7)</f>
        <v/>
      </c>
    </row>
    <row r="8" ht="15" customHeight="1" s="32">
      <c r="B8" s="36" t="inlineStr">
        <is>
          <t>DOC-10</t>
        </is>
      </c>
      <c r="C8" s="40" t="inlineStr">
        <is>
          <t>Verificación de entregables y cierre de historias Scrum — Nicolás</t>
        </is>
      </c>
      <c r="D8" s="36" t="n">
        <v>2</v>
      </c>
      <c r="E8" s="36" t="n"/>
      <c r="F8" s="36" t="n"/>
      <c r="G8" s="36" t="n"/>
      <c r="H8" s="36" t="n">
        <v>1</v>
      </c>
      <c r="I8" s="36" t="n">
        <v>1</v>
      </c>
      <c r="J8" s="36">
        <f>SUM(E8:I8)</f>
        <v/>
      </c>
    </row>
    <row r="9" ht="15" customHeight="1" s="32">
      <c r="J9" s="41">
        <f>SUM(J5:J8)</f>
        <v/>
      </c>
    </row>
    <row r="11" ht="15" customHeight="1" s="32">
      <c r="B11" s="42" t="inlineStr">
        <is>
          <t>Días</t>
        </is>
      </c>
      <c r="C11" s="36" t="n">
        <v>0</v>
      </c>
      <c r="D11" s="36" t="n">
        <v>1</v>
      </c>
      <c r="E11" s="36" t="n">
        <v>2</v>
      </c>
      <c r="F11" s="36" t="n">
        <v>3</v>
      </c>
      <c r="G11" s="36" t="n">
        <v>4</v>
      </c>
      <c r="H11" s="36" t="n">
        <v>5</v>
      </c>
    </row>
    <row r="12" ht="15" customHeight="1" s="32">
      <c r="B12" s="42" t="inlineStr">
        <is>
          <t>Estimadas de producto por realizar</t>
        </is>
      </c>
      <c r="C12" s="43">
        <f>SUM($D$5:$D$8)</f>
        <v/>
      </c>
      <c r="D12" s="43">
        <f>ROUND(C12-SUM($D$5:$D$8)/MAX($E$4:$I$4),1)</f>
        <v/>
      </c>
      <c r="E12" s="43">
        <f>ROUND(D12-SUM($D$5:$D$8)/MAX($E$4:$I$4),1)</f>
        <v/>
      </c>
      <c r="F12" s="43">
        <f>ROUND(E12-SUM($D$5:$D$8)/MAX($E$4:$I$4),1)</f>
        <v/>
      </c>
      <c r="G12" s="43">
        <f>ROUND(F12-SUM($D$5:$D$8)/MAX($E$4:$I$4),1)</f>
        <v/>
      </c>
      <c r="H12" s="43">
        <f>ROUND(G12-SUM($D$5:$D$8)/MAX($E$4:$I$4),1)</f>
        <v/>
      </c>
    </row>
    <row r="13" ht="15" customHeight="1" s="32">
      <c r="B13" s="42" t="inlineStr">
        <is>
          <t>Reales de producto por realizar</t>
        </is>
      </c>
      <c r="C13" s="44">
        <f>SUM($D$5:$D$8)</f>
        <v/>
      </c>
      <c r="D13" s="44">
        <f>C13-SUM(E$5:E$8)</f>
        <v/>
      </c>
      <c r="E13" s="44">
        <f>D13-SUM(F$5:F$8)</f>
        <v/>
      </c>
      <c r="F13" s="44">
        <f>E13-SUM(G$5:G$8)</f>
        <v/>
      </c>
      <c r="G13" s="44">
        <f>F13-SUM(H$5:H$8)</f>
        <v/>
      </c>
      <c r="H13" s="44">
        <f>G13-SUM(I$5:I$8)</f>
        <v/>
      </c>
    </row>
    <row r="15" ht="15" customHeight="1" s="32">
      <c r="B15" s="45" t="inlineStr">
        <is>
          <t>Fuente: Documento Sprint Backlog General — Sprint 6 (descomposición de tareas y tabla burndown).</t>
        </is>
      </c>
    </row>
    <row r="16" ht="15" customHeight="1" s="32">
      <c r="B16" s="45" t="inlineStr">
        <is>
          <t>Nota: el docx indica 2 h el Día 3 ("Cierre de US-14 T2 e inicio de DOC-10"); la distribución por tarea se ajustó para que cuadre con las horas totales de cada tarea y con las horas completadas por día.</t>
        </is>
      </c>
    </row>
  </sheetData>
  <mergeCells count="5">
    <mergeCell ref="E3:I3"/>
    <mergeCell ref="C3:C4"/>
    <mergeCell ref="B3:B4"/>
    <mergeCell ref="D3:D4"/>
    <mergeCell ref="J3:J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Rodrigo Galaz Silva</dc:creator>
  <dc:language xmlns:dc="http://purl.org/dc/elements/1.1/">en-US</dc:language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2026-10-13T02:53:22Z</dcterms:modified>
  <cp:revision>1</cp:revision>
</cp:coreProperties>
</file>